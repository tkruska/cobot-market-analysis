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Win\Documents\Studium\BA\"/>
    </mc:Choice>
  </mc:AlternateContent>
  <xr:revisionPtr revIDLastSave="0" documentId="13_ncr:1_{13F32CB8-03C8-44ED-B442-807FF26C4F9E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Scores" sheetId="5" r:id="rId1"/>
    <sheet name="Ranking" sheetId="6" r:id="rId2"/>
    <sheet name="GraphsAndCharts" sheetId="7" r:id="rId3"/>
    <sheet name="RawCobots" sheetId="1" r:id="rId4"/>
    <sheet name="ScoringCriteria" sheetId="8" r:id="rId5"/>
    <sheet name="RawScoringCriteria" sheetId="2" state="hidden" r:id="rId6"/>
    <sheet name="DataValidation" sheetId="4" state="hidden" r:id="rId7"/>
  </sheets>
  <definedNames>
    <definedName name="_xlchart.v1.0" hidden="1">Ranking!$B$2:$B$162</definedName>
    <definedName name="_xlchart.v1.1" hidden="1">Ranking!$B$2:$B$162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7" l="1"/>
  <c r="E74" i="7"/>
  <c r="E73" i="7"/>
  <c r="A62" i="7" a="1"/>
  <c r="A62" i="7" s="1"/>
  <c r="B62" i="7" s="1"/>
  <c r="F173" i="5"/>
  <c r="G173" i="5"/>
  <c r="H173" i="5"/>
  <c r="I173" i="5"/>
  <c r="E173" i="5"/>
  <c r="F172" i="5"/>
  <c r="G172" i="5"/>
  <c r="H172" i="5"/>
  <c r="I172" i="5"/>
  <c r="E172" i="5"/>
  <c r="D173" i="5"/>
  <c r="D172" i="5"/>
  <c r="M163" i="5"/>
  <c r="G24" i="7"/>
  <c r="G23" i="7"/>
  <c r="G22" i="7"/>
  <c r="G21" i="7"/>
  <c r="G20" i="7"/>
  <c r="G19" i="7"/>
  <c r="G18" i="7"/>
  <c r="O163" i="5"/>
  <c r="P163" i="5"/>
  <c r="Q163" i="5"/>
  <c r="R163" i="5"/>
  <c r="S163" i="5"/>
  <c r="T163" i="5"/>
  <c r="N163" i="5"/>
  <c r="B3" i="8"/>
  <c r="B8" i="8"/>
  <c r="E168" i="5"/>
  <c r="F168" i="5"/>
  <c r="G168" i="5"/>
  <c r="H168" i="5"/>
  <c r="I168" i="5"/>
  <c r="E169" i="5"/>
  <c r="F169" i="5"/>
  <c r="G169" i="5"/>
  <c r="H169" i="5"/>
  <c r="I169" i="5"/>
  <c r="E170" i="5"/>
  <c r="F170" i="5"/>
  <c r="G170" i="5"/>
  <c r="H170" i="5"/>
  <c r="I170" i="5"/>
  <c r="J170" i="5"/>
  <c r="G7" i="8"/>
  <c r="H7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G18" i="8"/>
  <c r="H18" i="8"/>
  <c r="G19" i="8"/>
  <c r="H19" i="8"/>
  <c r="G20" i="8"/>
  <c r="H20" i="8"/>
  <c r="H6" i="8"/>
  <c r="G6" i="8"/>
  <c r="G4" i="8"/>
  <c r="H4" i="8"/>
  <c r="G5" i="8"/>
  <c r="H5" i="8"/>
  <c r="H3" i="8"/>
  <c r="G3" i="8"/>
  <c r="W17" i="5"/>
  <c r="W18" i="5"/>
  <c r="W19" i="5"/>
  <c r="W20" i="5"/>
  <c r="W21" i="5"/>
  <c r="AG21" i="5"/>
  <c r="W29" i="5"/>
  <c r="W51" i="5"/>
  <c r="W52" i="5"/>
  <c r="W53" i="5"/>
  <c r="W54" i="5"/>
  <c r="W55" i="5"/>
  <c r="W56" i="5"/>
  <c r="W57" i="5"/>
  <c r="W58" i="5"/>
  <c r="W65" i="5"/>
  <c r="W66" i="5"/>
  <c r="W67" i="5"/>
  <c r="W68" i="5"/>
  <c r="W69" i="5"/>
  <c r="W70" i="5"/>
  <c r="W99" i="5"/>
  <c r="W100" i="5"/>
  <c r="W101" i="5"/>
  <c r="W102" i="5"/>
  <c r="W103" i="5"/>
  <c r="W104" i="5"/>
  <c r="W105" i="5"/>
  <c r="Y105" i="5"/>
  <c r="W111" i="5"/>
  <c r="W112" i="5"/>
  <c r="W115" i="5"/>
  <c r="W117" i="5"/>
  <c r="W125" i="5"/>
  <c r="X125" i="5"/>
  <c r="Y125" i="5"/>
  <c r="Z125" i="5"/>
  <c r="AA125" i="5"/>
  <c r="AB125" i="5"/>
  <c r="W126" i="5"/>
  <c r="Y126" i="5"/>
  <c r="AA126" i="5"/>
  <c r="AB126" i="5"/>
  <c r="W133" i="5"/>
  <c r="W134" i="5"/>
  <c r="W135" i="5"/>
  <c r="W136" i="5"/>
  <c r="W137" i="5"/>
  <c r="W138" i="5"/>
  <c r="W139" i="5"/>
  <c r="W149" i="5"/>
  <c r="W150" i="5"/>
  <c r="AJ153" i="5"/>
  <c r="AL154" i="5"/>
  <c r="AM154" i="5"/>
  <c r="AM155" i="5"/>
  <c r="AF157" i="5"/>
  <c r="AH157" i="5"/>
  <c r="AH158" i="5"/>
  <c r="W159" i="5"/>
  <c r="AG159" i="5"/>
  <c r="AH159" i="5"/>
  <c r="AF160" i="5"/>
  <c r="AG160" i="5"/>
  <c r="AH160" i="5"/>
  <c r="W161" i="5"/>
  <c r="AD161" i="5"/>
  <c r="AF161" i="5"/>
  <c r="AG161" i="5"/>
  <c r="AH161" i="5"/>
  <c r="W162" i="5"/>
  <c r="AD162" i="5"/>
  <c r="AF162" i="5"/>
  <c r="AG162" i="5"/>
  <c r="AH162" i="5"/>
  <c r="AI162" i="5"/>
  <c r="AK2" i="5"/>
  <c r="AL2" i="5"/>
  <c r="AM2" i="5"/>
  <c r="AF2" i="5"/>
  <c r="AG2" i="5"/>
  <c r="AH2" i="5"/>
  <c r="AJ2" i="5"/>
  <c r="AD2" i="5"/>
  <c r="AC2" i="5"/>
  <c r="Y170" i="5"/>
  <c r="Y149" i="5" s="1"/>
  <c r="X170" i="5"/>
  <c r="X145" i="5" s="1"/>
  <c r="W170" i="5"/>
  <c r="W146" i="5" s="1"/>
  <c r="AC168" i="5"/>
  <c r="AC149" i="5" s="1"/>
  <c r="AB168" i="5"/>
  <c r="AB4" i="5" s="1"/>
  <c r="AA168" i="5"/>
  <c r="AA153" i="5" s="1"/>
  <c r="Z168" i="5"/>
  <c r="Z152" i="5" s="1"/>
  <c r="Y168" i="5"/>
  <c r="Y162" i="5" s="1"/>
  <c r="X168" i="5"/>
  <c r="W168" i="5"/>
  <c r="W9" i="5" s="1"/>
  <c r="AN168" i="5"/>
  <c r="AM168" i="5"/>
  <c r="AM147" i="5" s="1"/>
  <c r="AL168" i="5"/>
  <c r="AL158" i="5" s="1"/>
  <c r="AK168" i="5"/>
  <c r="AK152" i="5" s="1"/>
  <c r="AJ168" i="5"/>
  <c r="AJ151" i="5" s="1"/>
  <c r="AG168" i="5"/>
  <c r="AG151" i="5" s="1"/>
  <c r="AH168" i="5"/>
  <c r="AH151" i="5" s="1"/>
  <c r="AI168" i="5"/>
  <c r="AI154" i="5" s="1"/>
  <c r="AF168" i="5"/>
  <c r="AF158" i="5" s="1"/>
  <c r="AE168" i="5"/>
  <c r="AE158" i="5" s="1"/>
  <c r="AD168" i="5"/>
  <c r="AD158" i="5" s="1"/>
  <c r="B6" i="8"/>
  <c r="B4" i="8"/>
  <c r="D5" i="7"/>
  <c r="D6" i="7"/>
  <c r="D7" i="7"/>
  <c r="D8" i="7"/>
  <c r="D9" i="7"/>
  <c r="D3" i="7"/>
  <c r="D4" i="7"/>
  <c r="E166" i="5"/>
  <c r="F166" i="5"/>
  <c r="G166" i="5"/>
  <c r="H166" i="5"/>
  <c r="I166" i="5"/>
  <c r="J166" i="5"/>
  <c r="E167" i="5"/>
  <c r="F167" i="5"/>
  <c r="G167" i="5"/>
  <c r="H167" i="5"/>
  <c r="I167" i="5"/>
  <c r="J167" i="5"/>
  <c r="D167" i="5"/>
  <c r="D170" i="5" s="1"/>
  <c r="D166" i="5"/>
  <c r="B18" i="7" s="1" a="1"/>
  <c r="B18" i="7" s="1"/>
  <c r="V165" i="5"/>
  <c r="V164" i="5"/>
  <c r="V163" i="5"/>
  <c r="U165" i="5"/>
  <c r="U164" i="5"/>
  <c r="U163" i="5"/>
  <c r="E163" i="5"/>
  <c r="F163" i="5"/>
  <c r="G163" i="5"/>
  <c r="H163" i="5"/>
  <c r="I163" i="5"/>
  <c r="J163" i="5"/>
  <c r="E164" i="5"/>
  <c r="F164" i="5"/>
  <c r="G164" i="5"/>
  <c r="H164" i="5"/>
  <c r="I164" i="5"/>
  <c r="J164" i="5"/>
  <c r="E165" i="5"/>
  <c r="F165" i="5"/>
  <c r="G165" i="5"/>
  <c r="H165" i="5"/>
  <c r="I165" i="5"/>
  <c r="J165" i="5"/>
  <c r="D165" i="5"/>
  <c r="D164" i="5"/>
  <c r="D163" i="5"/>
  <c r="D18" i="7" s="1" a="1"/>
  <c r="D18" i="7" s="1"/>
  <c r="L162" i="5" a="1"/>
  <c r="L162" i="5" s="1"/>
  <c r="L161" i="5" a="1"/>
  <c r="L161" i="5" s="1"/>
  <c r="L160" i="5" a="1"/>
  <c r="L160" i="5" s="1"/>
  <c r="L159" i="5" a="1"/>
  <c r="L159" i="5" s="1"/>
  <c r="L158" i="5" a="1"/>
  <c r="L158" i="5" s="1"/>
  <c r="L157" i="5" a="1"/>
  <c r="L157" i="5" s="1"/>
  <c r="L156" i="5" a="1"/>
  <c r="L156" i="5" s="1"/>
  <c r="L155" i="5" a="1"/>
  <c r="L155" i="5" s="1"/>
  <c r="L154" i="5" a="1"/>
  <c r="L154" i="5" s="1"/>
  <c r="L153" i="5" a="1"/>
  <c r="L153" i="5" s="1"/>
  <c r="L152" i="5" a="1"/>
  <c r="L152" i="5" s="1"/>
  <c r="L151" i="5" a="1"/>
  <c r="L151" i="5" s="1"/>
  <c r="L150" i="5" a="1"/>
  <c r="L150" i="5" s="1"/>
  <c r="L149" i="5" a="1"/>
  <c r="L149" i="5" s="1"/>
  <c r="L148" i="5" a="1"/>
  <c r="L148" i="5" s="1"/>
  <c r="L147" i="5" a="1"/>
  <c r="L147" i="5" s="1"/>
  <c r="L146" i="5" a="1"/>
  <c r="L146" i="5" s="1"/>
  <c r="L145" i="5" a="1"/>
  <c r="L145" i="5" s="1"/>
  <c r="L144" i="5" a="1"/>
  <c r="L144" i="5" s="1"/>
  <c r="L143" i="5" a="1"/>
  <c r="L143" i="5" s="1"/>
  <c r="L142" i="5" a="1"/>
  <c r="L142" i="5" s="1"/>
  <c r="L141" i="5" a="1"/>
  <c r="L141" i="5" s="1"/>
  <c r="L140" i="5" a="1"/>
  <c r="L140" i="5" s="1"/>
  <c r="L139" i="5" a="1"/>
  <c r="L139" i="5" s="1"/>
  <c r="L138" i="5" a="1"/>
  <c r="L138" i="5" s="1"/>
  <c r="L137" i="5" a="1"/>
  <c r="L137" i="5" s="1"/>
  <c r="L136" i="5" a="1"/>
  <c r="L136" i="5" s="1"/>
  <c r="L135" i="5" a="1"/>
  <c r="L135" i="5" s="1"/>
  <c r="L134" i="5" a="1"/>
  <c r="L134" i="5" s="1"/>
  <c r="L133" i="5" a="1"/>
  <c r="L133" i="5" s="1"/>
  <c r="L132" i="5" a="1"/>
  <c r="L132" i="5" s="1"/>
  <c r="L131" i="5" a="1"/>
  <c r="L131" i="5" s="1"/>
  <c r="L130" i="5" a="1"/>
  <c r="L130" i="5" s="1"/>
  <c r="L129" i="5" a="1"/>
  <c r="L129" i="5" s="1"/>
  <c r="L128" i="5" a="1"/>
  <c r="L128" i="5" s="1"/>
  <c r="L127" i="5" a="1"/>
  <c r="L127" i="5" s="1"/>
  <c r="L126" i="5" a="1"/>
  <c r="L126" i="5" s="1"/>
  <c r="L125" i="5" a="1"/>
  <c r="L125" i="5" s="1"/>
  <c r="L124" i="5" a="1"/>
  <c r="L124" i="5" s="1"/>
  <c r="L123" i="5" a="1"/>
  <c r="L123" i="5" s="1"/>
  <c r="L122" i="5" a="1"/>
  <c r="L122" i="5" s="1"/>
  <c r="L121" i="5" a="1"/>
  <c r="L121" i="5" s="1"/>
  <c r="L120" i="5" a="1"/>
  <c r="L120" i="5" s="1"/>
  <c r="L119" i="5" a="1"/>
  <c r="L119" i="5" s="1"/>
  <c r="L118" i="5" a="1"/>
  <c r="L118" i="5" s="1"/>
  <c r="L117" i="5" a="1"/>
  <c r="L117" i="5" s="1"/>
  <c r="L116" i="5" a="1"/>
  <c r="L116" i="5" s="1"/>
  <c r="L115" i="5" a="1"/>
  <c r="L115" i="5" s="1"/>
  <c r="L114" i="5" a="1"/>
  <c r="L114" i="5" s="1"/>
  <c r="L113" i="5" a="1"/>
  <c r="L113" i="5" s="1"/>
  <c r="L112" i="5" a="1"/>
  <c r="L112" i="5" s="1"/>
  <c r="L111" i="5" a="1"/>
  <c r="L111" i="5" s="1"/>
  <c r="L110" i="5" a="1"/>
  <c r="L110" i="5" s="1"/>
  <c r="L109" i="5" a="1"/>
  <c r="L109" i="5" s="1"/>
  <c r="L108" i="5" a="1"/>
  <c r="L108" i="5" s="1"/>
  <c r="L107" i="5" a="1"/>
  <c r="L107" i="5" s="1"/>
  <c r="L106" i="5" a="1"/>
  <c r="L106" i="5" s="1"/>
  <c r="L105" i="5" a="1"/>
  <c r="L105" i="5" s="1"/>
  <c r="L104" i="5" a="1"/>
  <c r="L104" i="5" s="1"/>
  <c r="L103" i="5" a="1"/>
  <c r="L103" i="5" s="1"/>
  <c r="L102" i="5" a="1"/>
  <c r="L102" i="5" s="1"/>
  <c r="L101" i="5" a="1"/>
  <c r="L101" i="5" s="1"/>
  <c r="L100" i="5" a="1"/>
  <c r="L100" i="5" s="1"/>
  <c r="L99" i="5" a="1"/>
  <c r="L99" i="5" s="1"/>
  <c r="L98" i="5" a="1"/>
  <c r="L98" i="5" s="1"/>
  <c r="L97" i="5" a="1"/>
  <c r="L97" i="5" s="1"/>
  <c r="L96" i="5" a="1"/>
  <c r="L96" i="5" s="1"/>
  <c r="L95" i="5" a="1"/>
  <c r="L95" i="5" s="1"/>
  <c r="L94" i="5" a="1"/>
  <c r="L94" i="5" s="1"/>
  <c r="L93" i="5" a="1"/>
  <c r="L93" i="5" s="1"/>
  <c r="L92" i="5" a="1"/>
  <c r="L92" i="5" s="1"/>
  <c r="L91" i="5" a="1"/>
  <c r="L91" i="5" s="1"/>
  <c r="L90" i="5" a="1"/>
  <c r="L90" i="5" s="1"/>
  <c r="L89" i="5" a="1"/>
  <c r="L89" i="5" s="1"/>
  <c r="L88" i="5" a="1"/>
  <c r="L88" i="5" s="1"/>
  <c r="L87" i="5" a="1"/>
  <c r="L87" i="5" s="1"/>
  <c r="L86" i="5" a="1"/>
  <c r="L86" i="5" s="1"/>
  <c r="L85" i="5" a="1"/>
  <c r="L85" i="5" s="1"/>
  <c r="L84" i="5" a="1"/>
  <c r="L84" i="5" s="1"/>
  <c r="L83" i="5" a="1"/>
  <c r="L83" i="5" s="1"/>
  <c r="L82" i="5" a="1"/>
  <c r="L82" i="5" s="1"/>
  <c r="L81" i="5" a="1"/>
  <c r="L81" i="5" s="1"/>
  <c r="L80" i="5" a="1"/>
  <c r="L80" i="5" s="1"/>
  <c r="L79" i="5" a="1"/>
  <c r="L79" i="5" s="1"/>
  <c r="L78" i="5" a="1"/>
  <c r="L78" i="5" s="1"/>
  <c r="L77" i="5" a="1"/>
  <c r="L77" i="5" s="1"/>
  <c r="L76" i="5" a="1"/>
  <c r="L76" i="5" s="1"/>
  <c r="L75" i="5" a="1"/>
  <c r="L75" i="5" s="1"/>
  <c r="L74" i="5" a="1"/>
  <c r="L74" i="5" s="1"/>
  <c r="L73" i="5" a="1"/>
  <c r="L73" i="5" s="1"/>
  <c r="L72" i="5" a="1"/>
  <c r="L72" i="5" s="1"/>
  <c r="L71" i="5" a="1"/>
  <c r="L71" i="5" s="1"/>
  <c r="L70" i="5" a="1"/>
  <c r="L70" i="5" s="1"/>
  <c r="L69" i="5" a="1"/>
  <c r="L69" i="5" s="1"/>
  <c r="L68" i="5" a="1"/>
  <c r="L68" i="5" s="1"/>
  <c r="L67" i="5" a="1"/>
  <c r="L67" i="5" s="1"/>
  <c r="L66" i="5" a="1"/>
  <c r="L66" i="5" s="1"/>
  <c r="L65" i="5" a="1"/>
  <c r="L65" i="5" s="1"/>
  <c r="L64" i="5" a="1"/>
  <c r="L64" i="5" s="1"/>
  <c r="L63" i="5" a="1"/>
  <c r="L63" i="5" s="1"/>
  <c r="L62" i="5" a="1"/>
  <c r="L62" i="5" s="1"/>
  <c r="L61" i="5" a="1"/>
  <c r="L61" i="5" s="1"/>
  <c r="L60" i="5" a="1"/>
  <c r="L60" i="5" s="1"/>
  <c r="L59" i="5" a="1"/>
  <c r="L59" i="5" s="1"/>
  <c r="L58" i="5" a="1"/>
  <c r="L58" i="5" s="1"/>
  <c r="L57" i="5" a="1"/>
  <c r="L57" i="5" s="1"/>
  <c r="L56" i="5" a="1"/>
  <c r="L56" i="5" s="1"/>
  <c r="L55" i="5" a="1"/>
  <c r="L55" i="5" s="1"/>
  <c r="L54" i="5" a="1"/>
  <c r="L54" i="5" s="1"/>
  <c r="L53" i="5" a="1"/>
  <c r="L53" i="5" s="1"/>
  <c r="L52" i="5" a="1"/>
  <c r="L52" i="5" s="1"/>
  <c r="L51" i="5" a="1"/>
  <c r="L51" i="5" s="1"/>
  <c r="L50" i="5" a="1"/>
  <c r="L50" i="5" s="1"/>
  <c r="L49" i="5" a="1"/>
  <c r="L49" i="5" s="1"/>
  <c r="L48" i="5" a="1"/>
  <c r="L48" i="5" s="1"/>
  <c r="L47" i="5" a="1"/>
  <c r="L47" i="5" s="1"/>
  <c r="L46" i="5" a="1"/>
  <c r="L46" i="5" s="1"/>
  <c r="L45" i="5" a="1"/>
  <c r="L45" i="5" s="1"/>
  <c r="L44" i="5" a="1"/>
  <c r="L44" i="5" s="1"/>
  <c r="L43" i="5" a="1"/>
  <c r="L43" i="5" s="1"/>
  <c r="L42" i="5" a="1"/>
  <c r="L42" i="5" s="1"/>
  <c r="L41" i="5" a="1"/>
  <c r="L41" i="5" s="1"/>
  <c r="L40" i="5" a="1"/>
  <c r="L40" i="5" s="1"/>
  <c r="L39" i="5" a="1"/>
  <c r="L39" i="5" s="1"/>
  <c r="L38" i="5" a="1"/>
  <c r="L38" i="5" s="1"/>
  <c r="L37" i="5" a="1"/>
  <c r="L37" i="5" s="1"/>
  <c r="L36" i="5" a="1"/>
  <c r="L36" i="5" s="1"/>
  <c r="L35" i="5" a="1"/>
  <c r="L35" i="5" s="1"/>
  <c r="L34" i="5" a="1"/>
  <c r="L34" i="5" s="1"/>
  <c r="L33" i="5" a="1"/>
  <c r="L33" i="5" s="1"/>
  <c r="L32" i="5" a="1"/>
  <c r="L32" i="5" s="1"/>
  <c r="L31" i="5" a="1"/>
  <c r="L31" i="5" s="1"/>
  <c r="L30" i="5" a="1"/>
  <c r="L30" i="5" s="1"/>
  <c r="L29" i="5" a="1"/>
  <c r="L29" i="5" s="1"/>
  <c r="L28" i="5" a="1"/>
  <c r="L28" i="5" s="1"/>
  <c r="L27" i="5" a="1"/>
  <c r="L27" i="5" s="1"/>
  <c r="L26" i="5" a="1"/>
  <c r="L26" i="5" s="1"/>
  <c r="L25" i="5" a="1"/>
  <c r="L25" i="5" s="1"/>
  <c r="L24" i="5" a="1"/>
  <c r="L24" i="5" s="1"/>
  <c r="L23" i="5" a="1"/>
  <c r="L23" i="5" s="1"/>
  <c r="L22" i="5" a="1"/>
  <c r="L22" i="5" s="1"/>
  <c r="L21" i="5" a="1"/>
  <c r="L21" i="5" s="1"/>
  <c r="L20" i="5" a="1"/>
  <c r="L20" i="5" s="1"/>
  <c r="L19" i="5" a="1"/>
  <c r="L19" i="5" s="1"/>
  <c r="L18" i="5" a="1"/>
  <c r="L18" i="5" s="1"/>
  <c r="L17" i="5" a="1"/>
  <c r="L17" i="5" s="1"/>
  <c r="L16" i="5" a="1"/>
  <c r="L16" i="5" s="1"/>
  <c r="L15" i="5" a="1"/>
  <c r="L15" i="5" s="1"/>
  <c r="L14" i="5" a="1"/>
  <c r="L14" i="5" s="1"/>
  <c r="L13" i="5" a="1"/>
  <c r="L13" i="5" s="1"/>
  <c r="L12" i="5" a="1"/>
  <c r="L12" i="5" s="1"/>
  <c r="L11" i="5" a="1"/>
  <c r="L11" i="5" s="1"/>
  <c r="L10" i="5" a="1"/>
  <c r="L10" i="5" s="1"/>
  <c r="L9" i="5" a="1"/>
  <c r="L9" i="5" s="1"/>
  <c r="L8" i="5" a="1"/>
  <c r="L8" i="5" s="1"/>
  <c r="L7" i="5" a="1"/>
  <c r="L7" i="5" s="1"/>
  <c r="L6" i="5" a="1"/>
  <c r="L6" i="5" s="1"/>
  <c r="L5" i="5" a="1"/>
  <c r="L5" i="5" s="1"/>
  <c r="L4" i="5" a="1"/>
  <c r="L4" i="5" s="1"/>
  <c r="L3" i="5" a="1"/>
  <c r="L3" i="5" s="1"/>
  <c r="L2" i="5" a="1"/>
  <c r="L2" i="5" s="1"/>
  <c r="D181" i="1"/>
  <c r="D179" i="1" a="1"/>
  <c r="D179" i="1" s="1"/>
  <c r="E178" i="1"/>
  <c r="D178" i="1"/>
  <c r="D180" i="1" s="1"/>
  <c r="D182" i="1" s="1"/>
  <c r="O165" i="1" a="1"/>
  <c r="O165" i="1" s="1"/>
  <c r="O163" i="1" a="1"/>
  <c r="O163" i="1" s="1"/>
  <c r="O164" i="1" a="1"/>
  <c r="O164" i="1" s="1"/>
  <c r="O161" i="1" a="1"/>
  <c r="O161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25" i="1" a="1"/>
  <c r="O125" i="1" s="1"/>
  <c r="O126" i="1" a="1"/>
  <c r="O126" i="1" s="1"/>
  <c r="O113" i="1" a="1"/>
  <c r="O113" i="1" s="1"/>
  <c r="O101" i="1" a="1"/>
  <c r="O101" i="1" s="1"/>
  <c r="O102" i="1" a="1"/>
  <c r="O102" i="1" s="1"/>
  <c r="O103" i="1" a="1"/>
  <c r="O103" i="1" s="1"/>
  <c r="O104" i="1" a="1"/>
  <c r="O104" i="1" s="1"/>
  <c r="O105" i="1" a="1"/>
  <c r="O105" i="1" s="1"/>
  <c r="O78" i="1" a="1"/>
  <c r="O78" i="1" s="1"/>
  <c r="O79" i="1" a="1"/>
  <c r="O79" i="1" s="1"/>
  <c r="O80" i="1" a="1"/>
  <c r="O80" i="1" s="1"/>
  <c r="O81" i="1" a="1"/>
  <c r="O81" i="1" s="1"/>
  <c r="O124" i="1" a="1"/>
  <c r="O124" i="1" s="1"/>
  <c r="O152" i="1" a="1"/>
  <c r="O152" i="1" s="1"/>
  <c r="O76" i="1" a="1"/>
  <c r="O76" i="1" s="1"/>
  <c r="O77" i="1" a="1"/>
  <c r="O77" i="1" s="1"/>
  <c r="O75" i="1" a="1"/>
  <c r="O75" i="1" s="1"/>
  <c r="O74" i="1" a="1"/>
  <c r="O74" i="1" s="1"/>
  <c r="O71" i="1" a="1"/>
  <c r="O71" i="1" s="1"/>
  <c r="O73" i="1" a="1"/>
  <c r="O73" i="1" s="1"/>
  <c r="O66" i="1" a="1"/>
  <c r="O66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7" i="1" a="1"/>
  <c r="O67" i="1" s="1"/>
  <c r="O68" i="1" a="1"/>
  <c r="O68" i="1" s="1"/>
  <c r="O69" i="1" a="1"/>
  <c r="O69" i="1" s="1"/>
  <c r="O70" i="1" a="1"/>
  <c r="O70" i="1" s="1"/>
  <c r="O72" i="1" a="1"/>
  <c r="O72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62" i="1" a="1"/>
  <c r="O162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2" i="1" a="1"/>
  <c r="O2" i="1" s="1"/>
  <c r="F74" i="7" l="1"/>
  <c r="R164" i="5"/>
  <c r="F75" i="7"/>
  <c r="S164" i="5"/>
  <c r="F73" i="7"/>
  <c r="T164" i="5"/>
  <c r="N164" i="5"/>
  <c r="M164" i="5"/>
  <c r="O164" i="5"/>
  <c r="P164" i="5"/>
  <c r="Q164" i="5"/>
  <c r="C62" i="7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65" i="7"/>
  <c r="C65" i="7" s="1"/>
  <c r="B64" i="7"/>
  <c r="C64" i="7" s="1"/>
  <c r="B63" i="7"/>
  <c r="C63" i="7" s="1"/>
  <c r="AN19" i="5"/>
  <c r="AN67" i="5"/>
  <c r="AN20" i="5"/>
  <c r="AN68" i="5"/>
  <c r="AN21" i="5"/>
  <c r="AN22" i="5"/>
  <c r="AN69" i="5"/>
  <c r="AN23" i="5"/>
  <c r="AN24" i="5"/>
  <c r="AN25" i="5"/>
  <c r="AN26" i="5"/>
  <c r="AN27" i="5"/>
  <c r="AN28" i="5"/>
  <c r="AN70" i="5"/>
  <c r="AN29" i="5"/>
  <c r="AN30" i="5"/>
  <c r="AN31" i="5"/>
  <c r="AN32" i="5"/>
  <c r="AN33" i="5"/>
  <c r="AN34" i="5"/>
  <c r="AN35" i="5"/>
  <c r="AN36" i="5"/>
  <c r="AN37" i="5"/>
  <c r="AN38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3" i="5"/>
  <c r="AN4" i="5"/>
  <c r="AN5" i="5"/>
  <c r="AN6" i="5"/>
  <c r="AN57" i="5"/>
  <c r="AN7" i="5"/>
  <c r="AN8" i="5"/>
  <c r="AN9" i="5"/>
  <c r="AN10" i="5"/>
  <c r="AN11" i="5"/>
  <c r="AN12" i="5"/>
  <c r="AN13" i="5"/>
  <c r="AN14" i="5"/>
  <c r="AN15" i="5"/>
  <c r="AN16" i="5"/>
  <c r="AN58" i="5"/>
  <c r="AN59" i="5"/>
  <c r="AN60" i="5"/>
  <c r="AN61" i="5"/>
  <c r="AN62" i="5"/>
  <c r="AN63" i="5"/>
  <c r="AN64" i="5"/>
  <c r="AN18" i="5"/>
  <c r="AN66" i="5"/>
  <c r="AN100" i="5"/>
  <c r="AN132" i="5"/>
  <c r="AN101" i="5"/>
  <c r="AN133" i="5"/>
  <c r="AN2" i="5"/>
  <c r="AN86" i="5"/>
  <c r="AN102" i="5"/>
  <c r="AN134" i="5"/>
  <c r="AN103" i="5"/>
  <c r="AN135" i="5"/>
  <c r="AN104" i="5"/>
  <c r="AN136" i="5"/>
  <c r="AN105" i="5"/>
  <c r="AN106" i="5"/>
  <c r="AN107" i="5"/>
  <c r="AN108" i="5"/>
  <c r="AN109" i="5"/>
  <c r="AN110" i="5"/>
  <c r="AN137" i="5"/>
  <c r="AN85" i="5"/>
  <c r="AN111" i="5"/>
  <c r="AN138" i="5"/>
  <c r="AN112" i="5"/>
  <c r="AN113" i="5"/>
  <c r="AN114" i="5"/>
  <c r="AN139" i="5"/>
  <c r="AN140" i="5"/>
  <c r="AN141" i="5"/>
  <c r="AN142" i="5"/>
  <c r="AN143" i="5"/>
  <c r="AN144" i="5"/>
  <c r="AN145" i="5"/>
  <c r="AN115" i="5"/>
  <c r="AN116" i="5"/>
  <c r="AN117" i="5"/>
  <c r="AN147" i="5"/>
  <c r="AN118" i="5"/>
  <c r="AN148" i="5"/>
  <c r="AN65" i="5"/>
  <c r="AN119" i="5"/>
  <c r="AN120" i="5"/>
  <c r="AN121" i="5"/>
  <c r="AN122" i="5"/>
  <c r="AN123" i="5"/>
  <c r="AN124" i="5"/>
  <c r="AN149" i="5"/>
  <c r="AN17" i="5"/>
  <c r="AN150" i="5"/>
  <c r="AN125" i="5"/>
  <c r="AN88" i="5"/>
  <c r="AN89" i="5"/>
  <c r="AN90" i="5"/>
  <c r="AN91" i="5"/>
  <c r="AN92" i="5"/>
  <c r="AN93" i="5"/>
  <c r="AN94" i="5"/>
  <c r="AN95" i="5"/>
  <c r="AN96" i="5"/>
  <c r="AN97" i="5"/>
  <c r="AN98" i="5"/>
  <c r="AN87" i="5"/>
  <c r="AN99" i="5"/>
  <c r="AN126" i="5"/>
  <c r="AN127" i="5"/>
  <c r="AN128" i="5"/>
  <c r="AN129" i="5"/>
  <c r="AN130" i="5"/>
  <c r="AN131" i="5"/>
  <c r="AI161" i="5"/>
  <c r="AI160" i="5"/>
  <c r="AI159" i="5"/>
  <c r="AI158" i="5"/>
  <c r="AA156" i="5"/>
  <c r="AN154" i="5"/>
  <c r="AA152" i="5"/>
  <c r="AA150" i="5"/>
  <c r="AE147" i="5"/>
  <c r="AD141" i="5"/>
  <c r="AG157" i="5"/>
  <c r="Z156" i="5"/>
  <c r="AI153" i="5"/>
  <c r="Y150" i="5"/>
  <c r="AA147" i="5"/>
  <c r="AG158" i="5"/>
  <c r="Y156" i="5"/>
  <c r="AH153" i="5"/>
  <c r="Y152" i="5"/>
  <c r="X150" i="5"/>
  <c r="AN146" i="5"/>
  <c r="AI2" i="5"/>
  <c r="AF159" i="5"/>
  <c r="AD157" i="5"/>
  <c r="X156" i="5"/>
  <c r="AK154" i="5"/>
  <c r="AG153" i="5"/>
  <c r="X152" i="5"/>
  <c r="AK146" i="5"/>
  <c r="Z7" i="5"/>
  <c r="Z8" i="5"/>
  <c r="Z9" i="5"/>
  <c r="Z10" i="5"/>
  <c r="Z11" i="5"/>
  <c r="Z12" i="5"/>
  <c r="Z13" i="5"/>
  <c r="Z14" i="5"/>
  <c r="Z15" i="5"/>
  <c r="Z16" i="5"/>
  <c r="Z58" i="5"/>
  <c r="Z59" i="5"/>
  <c r="Z60" i="5"/>
  <c r="Z61" i="5"/>
  <c r="Z62" i="5"/>
  <c r="Z63" i="5"/>
  <c r="Z64" i="5"/>
  <c r="Z17" i="5"/>
  <c r="Z65" i="5"/>
  <c r="Z18" i="5"/>
  <c r="Z66" i="5"/>
  <c r="Z19" i="5"/>
  <c r="Z67" i="5"/>
  <c r="Z20" i="5"/>
  <c r="Z68" i="5"/>
  <c r="Z21" i="5"/>
  <c r="Z22" i="5"/>
  <c r="Z69" i="5"/>
  <c r="Z23" i="5"/>
  <c r="Z24" i="5"/>
  <c r="Z25" i="5"/>
  <c r="Z26" i="5"/>
  <c r="Z27" i="5"/>
  <c r="Z28" i="5"/>
  <c r="Z70" i="5"/>
  <c r="Z29" i="5"/>
  <c r="Z30" i="5"/>
  <c r="Z31" i="5"/>
  <c r="Z32" i="5"/>
  <c r="Z33" i="5"/>
  <c r="Z34" i="5"/>
  <c r="Z35" i="5"/>
  <c r="Z36" i="5"/>
  <c r="Z37" i="5"/>
  <c r="Z38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39" i="5"/>
  <c r="Z40" i="5"/>
  <c r="Z41" i="5"/>
  <c r="Z42" i="5"/>
  <c r="Z43" i="5"/>
  <c r="Z44" i="5"/>
  <c r="Z45" i="5"/>
  <c r="Z46" i="5"/>
  <c r="Z47" i="5"/>
  <c r="Z48" i="5"/>
  <c r="Z49" i="5"/>
  <c r="Z50" i="5"/>
  <c r="Z86" i="5"/>
  <c r="Z51" i="5"/>
  <c r="Z52" i="5"/>
  <c r="Z53" i="5"/>
  <c r="Z54" i="5"/>
  <c r="Z55" i="5"/>
  <c r="Z3" i="5"/>
  <c r="Z4" i="5"/>
  <c r="Z5" i="5"/>
  <c r="Z6" i="5"/>
  <c r="Z57" i="5"/>
  <c r="Z89" i="5"/>
  <c r="Z90" i="5"/>
  <c r="Z91" i="5"/>
  <c r="Z92" i="5"/>
  <c r="Z93" i="5"/>
  <c r="Z94" i="5"/>
  <c r="Z95" i="5"/>
  <c r="Z96" i="5"/>
  <c r="Z97" i="5"/>
  <c r="Z98" i="5"/>
  <c r="Z126" i="5"/>
  <c r="Z160" i="5"/>
  <c r="Z88" i="5"/>
  <c r="Z99" i="5"/>
  <c r="Z127" i="5"/>
  <c r="Z128" i="5"/>
  <c r="Z129" i="5"/>
  <c r="Z130" i="5"/>
  <c r="Z131" i="5"/>
  <c r="Z87" i="5"/>
  <c r="Z100" i="5"/>
  <c r="Z132" i="5"/>
  <c r="Z101" i="5"/>
  <c r="Z133" i="5"/>
  <c r="Z102" i="5"/>
  <c r="Z134" i="5"/>
  <c r="Z103" i="5"/>
  <c r="Z135" i="5"/>
  <c r="Z104" i="5"/>
  <c r="Z136" i="5"/>
  <c r="Z105" i="5"/>
  <c r="Z106" i="5"/>
  <c r="Z107" i="5"/>
  <c r="Z108" i="5"/>
  <c r="Z109" i="5"/>
  <c r="Z110" i="5"/>
  <c r="Z137" i="5"/>
  <c r="Z111" i="5"/>
  <c r="Z138" i="5"/>
  <c r="Z112" i="5"/>
  <c r="Z113" i="5"/>
  <c r="Z114" i="5"/>
  <c r="Z139" i="5"/>
  <c r="Z140" i="5"/>
  <c r="Z141" i="5"/>
  <c r="Z142" i="5"/>
  <c r="Z143" i="5"/>
  <c r="Z144" i="5"/>
  <c r="Z145" i="5"/>
  <c r="Z115" i="5"/>
  <c r="Z116" i="5"/>
  <c r="Z146" i="5"/>
  <c r="Z117" i="5"/>
  <c r="Z147" i="5"/>
  <c r="Z118" i="5"/>
  <c r="Z119" i="5"/>
  <c r="Z120" i="5"/>
  <c r="Z121" i="5"/>
  <c r="Z122" i="5"/>
  <c r="Z123" i="5"/>
  <c r="Z124" i="5"/>
  <c r="Z56" i="5"/>
  <c r="Z150" i="5"/>
  <c r="Z151" i="5"/>
  <c r="AE162" i="5"/>
  <c r="AE161" i="5"/>
  <c r="AE160" i="5"/>
  <c r="AE159" i="5"/>
  <c r="AA157" i="5"/>
  <c r="AN155" i="5"/>
  <c r="AJ154" i="5"/>
  <c r="AN151" i="5"/>
  <c r="AK149" i="5"/>
  <c r="AC146" i="5"/>
  <c r="AA3" i="5"/>
  <c r="AA4" i="5"/>
  <c r="AA5" i="5"/>
  <c r="AA6" i="5"/>
  <c r="AA57" i="5"/>
  <c r="AA7" i="5"/>
  <c r="AA8" i="5"/>
  <c r="AA9" i="5"/>
  <c r="AA10" i="5"/>
  <c r="AA11" i="5"/>
  <c r="AA12" i="5"/>
  <c r="AA13" i="5"/>
  <c r="AA14" i="5"/>
  <c r="AA15" i="5"/>
  <c r="AA16" i="5"/>
  <c r="AA58" i="5"/>
  <c r="AA59" i="5"/>
  <c r="AA60" i="5"/>
  <c r="AA61" i="5"/>
  <c r="AA62" i="5"/>
  <c r="AA63" i="5"/>
  <c r="AA64" i="5"/>
  <c r="AA17" i="5"/>
  <c r="AA65" i="5"/>
  <c r="AA18" i="5"/>
  <c r="AA66" i="5"/>
  <c r="AA19" i="5"/>
  <c r="AA67" i="5"/>
  <c r="AA20" i="5"/>
  <c r="AA68" i="5"/>
  <c r="AA21" i="5"/>
  <c r="AA22" i="5"/>
  <c r="AA69" i="5"/>
  <c r="AA23" i="5"/>
  <c r="AA24" i="5"/>
  <c r="AA25" i="5"/>
  <c r="AA26" i="5"/>
  <c r="AA27" i="5"/>
  <c r="AA28" i="5"/>
  <c r="AA70" i="5"/>
  <c r="AA29" i="5"/>
  <c r="AA30" i="5"/>
  <c r="AA31" i="5"/>
  <c r="AA32" i="5"/>
  <c r="AA33" i="5"/>
  <c r="AA34" i="5"/>
  <c r="AA35" i="5"/>
  <c r="AA36" i="5"/>
  <c r="AA37" i="5"/>
  <c r="AA38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6" i="5"/>
  <c r="AA159" i="5"/>
  <c r="AA89" i="5"/>
  <c r="AA90" i="5"/>
  <c r="AA91" i="5"/>
  <c r="AA92" i="5"/>
  <c r="AA93" i="5"/>
  <c r="AA94" i="5"/>
  <c r="AA95" i="5"/>
  <c r="AA96" i="5"/>
  <c r="AA97" i="5"/>
  <c r="AA98" i="5"/>
  <c r="AA88" i="5"/>
  <c r="AA99" i="5"/>
  <c r="AA127" i="5"/>
  <c r="AA128" i="5"/>
  <c r="AA129" i="5"/>
  <c r="AA130" i="5"/>
  <c r="AA131" i="5"/>
  <c r="AA87" i="5"/>
  <c r="AA100" i="5"/>
  <c r="AA132" i="5"/>
  <c r="AA101" i="5"/>
  <c r="AA133" i="5"/>
  <c r="AA102" i="5"/>
  <c r="AA134" i="5"/>
  <c r="AA103" i="5"/>
  <c r="AA135" i="5"/>
  <c r="AA86" i="5"/>
  <c r="AA104" i="5"/>
  <c r="AA136" i="5"/>
  <c r="AA105" i="5"/>
  <c r="AA106" i="5"/>
  <c r="AA107" i="5"/>
  <c r="AA108" i="5"/>
  <c r="AA109" i="5"/>
  <c r="AA110" i="5"/>
  <c r="AA137" i="5"/>
  <c r="AA111" i="5"/>
  <c r="AA138" i="5"/>
  <c r="AA112" i="5"/>
  <c r="AA113" i="5"/>
  <c r="AA114" i="5"/>
  <c r="AA139" i="5"/>
  <c r="AA140" i="5"/>
  <c r="AA141" i="5"/>
  <c r="AA142" i="5"/>
  <c r="AA143" i="5"/>
  <c r="AA144" i="5"/>
  <c r="AA145" i="5"/>
  <c r="AA115" i="5"/>
  <c r="AA116" i="5"/>
  <c r="AA146" i="5"/>
  <c r="AA55" i="5"/>
  <c r="AA117" i="5"/>
  <c r="AA118" i="5"/>
  <c r="AA148" i="5"/>
  <c r="AA119" i="5"/>
  <c r="AA120" i="5"/>
  <c r="AA121" i="5"/>
  <c r="AA122" i="5"/>
  <c r="AA123" i="5"/>
  <c r="AA124" i="5"/>
  <c r="AA149" i="5"/>
  <c r="AD160" i="5"/>
  <c r="AD159" i="5"/>
  <c r="Z157" i="5"/>
  <c r="Z153" i="5"/>
  <c r="AM151" i="5"/>
  <c r="AH149" i="5"/>
  <c r="AD55" i="5"/>
  <c r="AD56" i="5"/>
  <c r="AD3" i="5"/>
  <c r="AD4" i="5"/>
  <c r="AD5" i="5"/>
  <c r="AD6" i="5"/>
  <c r="AD57" i="5"/>
  <c r="AD7" i="5"/>
  <c r="AD8" i="5"/>
  <c r="AD9" i="5"/>
  <c r="AD10" i="5"/>
  <c r="AD11" i="5"/>
  <c r="AD12" i="5"/>
  <c r="AD13" i="5"/>
  <c r="AD14" i="5"/>
  <c r="AD15" i="5"/>
  <c r="AD16" i="5"/>
  <c r="AD58" i="5"/>
  <c r="AD59" i="5"/>
  <c r="AD60" i="5"/>
  <c r="AD61" i="5"/>
  <c r="AD62" i="5"/>
  <c r="AD63" i="5"/>
  <c r="AD64" i="5"/>
  <c r="AD17" i="5"/>
  <c r="AD65" i="5"/>
  <c r="AD18" i="5"/>
  <c r="AD66" i="5"/>
  <c r="AD19" i="5"/>
  <c r="AD67" i="5"/>
  <c r="AD20" i="5"/>
  <c r="AD68" i="5"/>
  <c r="AD21" i="5"/>
  <c r="AD22" i="5"/>
  <c r="AD69" i="5"/>
  <c r="AD23" i="5"/>
  <c r="AD24" i="5"/>
  <c r="AD25" i="5"/>
  <c r="AD26" i="5"/>
  <c r="AD27" i="5"/>
  <c r="AD28" i="5"/>
  <c r="AD70" i="5"/>
  <c r="AD29" i="5"/>
  <c r="AD30" i="5"/>
  <c r="AD31" i="5"/>
  <c r="AD32" i="5"/>
  <c r="AD33" i="5"/>
  <c r="AD34" i="5"/>
  <c r="AD35" i="5"/>
  <c r="AD36" i="5"/>
  <c r="AD37" i="5"/>
  <c r="AD38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86" i="5"/>
  <c r="AD51" i="5"/>
  <c r="AD52" i="5"/>
  <c r="AD54" i="5"/>
  <c r="AD118" i="5"/>
  <c r="AD119" i="5"/>
  <c r="AD120" i="5"/>
  <c r="AD121" i="5"/>
  <c r="AD122" i="5"/>
  <c r="AD123" i="5"/>
  <c r="AD124" i="5"/>
  <c r="AD149" i="5"/>
  <c r="AD150" i="5"/>
  <c r="AD151" i="5"/>
  <c r="AD152" i="5"/>
  <c r="AD153" i="5"/>
  <c r="AD154" i="5"/>
  <c r="AD155" i="5"/>
  <c r="AD156" i="5"/>
  <c r="AD125" i="5"/>
  <c r="AD88" i="5"/>
  <c r="AD89" i="5"/>
  <c r="AD90" i="5"/>
  <c r="AD91" i="5"/>
  <c r="AD92" i="5"/>
  <c r="AD93" i="5"/>
  <c r="AD94" i="5"/>
  <c r="AD95" i="5"/>
  <c r="AD96" i="5"/>
  <c r="AD97" i="5"/>
  <c r="AD98" i="5"/>
  <c r="AD87" i="5"/>
  <c r="AD99" i="5"/>
  <c r="AD126" i="5"/>
  <c r="AD127" i="5"/>
  <c r="AD128" i="5"/>
  <c r="AD129" i="5"/>
  <c r="AD130" i="5"/>
  <c r="AD131" i="5"/>
  <c r="AD100" i="5"/>
  <c r="AD132" i="5"/>
  <c r="AD101" i="5"/>
  <c r="AD133" i="5"/>
  <c r="AD102" i="5"/>
  <c r="AD134" i="5"/>
  <c r="AD53" i="5"/>
  <c r="AD103" i="5"/>
  <c r="AD135" i="5"/>
  <c r="AD104" i="5"/>
  <c r="AD136" i="5"/>
  <c r="AD105" i="5"/>
  <c r="AD106" i="5"/>
  <c r="AD107" i="5"/>
  <c r="AD108" i="5"/>
  <c r="AD109" i="5"/>
  <c r="AD110" i="5"/>
  <c r="AD137" i="5"/>
  <c r="AD111" i="5"/>
  <c r="AD138" i="5"/>
  <c r="AD112" i="5"/>
  <c r="AD113" i="5"/>
  <c r="AD114" i="5"/>
  <c r="AD139" i="5"/>
  <c r="AD140" i="5"/>
  <c r="AD115" i="5"/>
  <c r="AD116" i="5"/>
  <c r="AD146" i="5"/>
  <c r="AD85" i="5"/>
  <c r="AD117" i="5"/>
  <c r="AD147" i="5"/>
  <c r="AC162" i="5"/>
  <c r="AC161" i="5"/>
  <c r="AC160" i="5"/>
  <c r="AC159" i="5"/>
  <c r="AA158" i="5"/>
  <c r="Y157" i="5"/>
  <c r="AL155" i="5"/>
  <c r="AH154" i="5"/>
  <c r="Y153" i="5"/>
  <c r="AL151" i="5"/>
  <c r="AL145" i="5"/>
  <c r="AE54" i="5"/>
  <c r="AE55" i="5"/>
  <c r="AE56" i="5"/>
  <c r="AE3" i="5"/>
  <c r="AE4" i="5"/>
  <c r="AE5" i="5"/>
  <c r="AE6" i="5"/>
  <c r="AE57" i="5"/>
  <c r="AE7" i="5"/>
  <c r="AE8" i="5"/>
  <c r="AE9" i="5"/>
  <c r="AE10" i="5"/>
  <c r="AE11" i="5"/>
  <c r="AE12" i="5"/>
  <c r="AE13" i="5"/>
  <c r="AE14" i="5"/>
  <c r="AE15" i="5"/>
  <c r="AE16" i="5"/>
  <c r="AE58" i="5"/>
  <c r="AE59" i="5"/>
  <c r="AE60" i="5"/>
  <c r="AE61" i="5"/>
  <c r="AE62" i="5"/>
  <c r="AE63" i="5"/>
  <c r="AE64" i="5"/>
  <c r="AE17" i="5"/>
  <c r="AE65" i="5"/>
  <c r="AE18" i="5"/>
  <c r="AE66" i="5"/>
  <c r="AE19" i="5"/>
  <c r="AE67" i="5"/>
  <c r="AE20" i="5"/>
  <c r="AE68" i="5"/>
  <c r="AE21" i="5"/>
  <c r="AE22" i="5"/>
  <c r="AE69" i="5"/>
  <c r="AE23" i="5"/>
  <c r="AE24" i="5"/>
  <c r="AE25" i="5"/>
  <c r="AE26" i="5"/>
  <c r="AE27" i="5"/>
  <c r="AE28" i="5"/>
  <c r="AE70" i="5"/>
  <c r="AE29" i="5"/>
  <c r="AE30" i="5"/>
  <c r="AE31" i="5"/>
  <c r="AE32" i="5"/>
  <c r="AE33" i="5"/>
  <c r="AE34" i="5"/>
  <c r="AE35" i="5"/>
  <c r="AE36" i="5"/>
  <c r="AE37" i="5"/>
  <c r="AE38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3" i="5"/>
  <c r="AE117" i="5"/>
  <c r="AE118" i="5"/>
  <c r="AE148" i="5"/>
  <c r="AE119" i="5"/>
  <c r="AE120" i="5"/>
  <c r="AE121" i="5"/>
  <c r="AE122" i="5"/>
  <c r="AE123" i="5"/>
  <c r="AE124" i="5"/>
  <c r="AE149" i="5"/>
  <c r="AE150" i="5"/>
  <c r="AE151" i="5"/>
  <c r="AE152" i="5"/>
  <c r="AE153" i="5"/>
  <c r="AE154" i="5"/>
  <c r="AE155" i="5"/>
  <c r="AE156" i="5"/>
  <c r="AE157" i="5"/>
  <c r="AE125" i="5"/>
  <c r="AE88" i="5"/>
  <c r="AE89" i="5"/>
  <c r="AE90" i="5"/>
  <c r="AE91" i="5"/>
  <c r="AE92" i="5"/>
  <c r="AE93" i="5"/>
  <c r="AE94" i="5"/>
  <c r="AE95" i="5"/>
  <c r="AE96" i="5"/>
  <c r="AE97" i="5"/>
  <c r="AE98" i="5"/>
  <c r="AE87" i="5"/>
  <c r="AE99" i="5"/>
  <c r="AE126" i="5"/>
  <c r="AE127" i="5"/>
  <c r="AE128" i="5"/>
  <c r="AE129" i="5"/>
  <c r="AE130" i="5"/>
  <c r="AE131" i="5"/>
  <c r="AE52" i="5"/>
  <c r="AE100" i="5"/>
  <c r="AE132" i="5"/>
  <c r="AE101" i="5"/>
  <c r="AE133" i="5"/>
  <c r="AE102" i="5"/>
  <c r="AE134" i="5"/>
  <c r="AE86" i="5"/>
  <c r="AE103" i="5"/>
  <c r="AE135" i="5"/>
  <c r="AE104" i="5"/>
  <c r="AE136" i="5"/>
  <c r="AE105" i="5"/>
  <c r="AE106" i="5"/>
  <c r="AE107" i="5"/>
  <c r="AE108" i="5"/>
  <c r="AE109" i="5"/>
  <c r="AE110" i="5"/>
  <c r="AE137" i="5"/>
  <c r="AE111" i="5"/>
  <c r="AE138" i="5"/>
  <c r="AE112" i="5"/>
  <c r="AE113" i="5"/>
  <c r="AE114" i="5"/>
  <c r="AE139" i="5"/>
  <c r="AE140" i="5"/>
  <c r="AE141" i="5"/>
  <c r="AE142" i="5"/>
  <c r="AE143" i="5"/>
  <c r="AE144" i="5"/>
  <c r="AE145" i="5"/>
  <c r="AE115" i="5"/>
  <c r="AE116" i="5"/>
  <c r="AE146" i="5"/>
  <c r="AC56" i="5"/>
  <c r="AC3" i="5"/>
  <c r="AC4" i="5"/>
  <c r="AC5" i="5"/>
  <c r="AC6" i="5"/>
  <c r="AC57" i="5"/>
  <c r="AC7" i="5"/>
  <c r="AC8" i="5"/>
  <c r="AC9" i="5"/>
  <c r="AC10" i="5"/>
  <c r="AC11" i="5"/>
  <c r="AC12" i="5"/>
  <c r="AC13" i="5"/>
  <c r="AC14" i="5"/>
  <c r="AC15" i="5"/>
  <c r="AC16" i="5"/>
  <c r="AC58" i="5"/>
  <c r="AC59" i="5"/>
  <c r="AC60" i="5"/>
  <c r="AC61" i="5"/>
  <c r="AC62" i="5"/>
  <c r="AC63" i="5"/>
  <c r="AC64" i="5"/>
  <c r="AC17" i="5"/>
  <c r="AC65" i="5"/>
  <c r="AC18" i="5"/>
  <c r="AC66" i="5"/>
  <c r="AC19" i="5"/>
  <c r="AC67" i="5"/>
  <c r="AC20" i="5"/>
  <c r="AC68" i="5"/>
  <c r="AC21" i="5"/>
  <c r="AC22" i="5"/>
  <c r="AC69" i="5"/>
  <c r="AC23" i="5"/>
  <c r="AC24" i="5"/>
  <c r="AC25" i="5"/>
  <c r="AC26" i="5"/>
  <c r="AC27" i="5"/>
  <c r="AC28" i="5"/>
  <c r="AC70" i="5"/>
  <c r="AC29" i="5"/>
  <c r="AC30" i="5"/>
  <c r="AC31" i="5"/>
  <c r="AC32" i="5"/>
  <c r="AC33" i="5"/>
  <c r="AC34" i="5"/>
  <c r="AC35" i="5"/>
  <c r="AC36" i="5"/>
  <c r="AC37" i="5"/>
  <c r="AC38" i="5"/>
  <c r="AC71" i="5"/>
  <c r="AC72" i="5"/>
  <c r="AC73" i="5"/>
  <c r="AC74" i="5"/>
  <c r="AC75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87" i="5"/>
  <c r="AC88" i="5"/>
  <c r="AC52" i="5"/>
  <c r="AC53" i="5"/>
  <c r="AC55" i="5"/>
  <c r="AC77" i="5"/>
  <c r="AC80" i="5"/>
  <c r="AC119" i="5"/>
  <c r="AC120" i="5"/>
  <c r="AC121" i="5"/>
  <c r="AC122" i="5"/>
  <c r="AC123" i="5"/>
  <c r="AC124" i="5"/>
  <c r="AC150" i="5"/>
  <c r="AC151" i="5"/>
  <c r="AC152" i="5"/>
  <c r="AC153" i="5"/>
  <c r="AC154" i="5"/>
  <c r="AC155" i="5"/>
  <c r="AC156" i="5"/>
  <c r="AC157" i="5"/>
  <c r="AC158" i="5"/>
  <c r="AC83" i="5"/>
  <c r="AC125" i="5"/>
  <c r="AC89" i="5"/>
  <c r="AC90" i="5"/>
  <c r="AC91" i="5"/>
  <c r="AC92" i="5"/>
  <c r="AC93" i="5"/>
  <c r="AC94" i="5"/>
  <c r="AC95" i="5"/>
  <c r="AC96" i="5"/>
  <c r="AC97" i="5"/>
  <c r="AC98" i="5"/>
  <c r="AC78" i="5"/>
  <c r="AC99" i="5"/>
  <c r="AC126" i="5"/>
  <c r="AC127" i="5"/>
  <c r="AC128" i="5"/>
  <c r="AC129" i="5"/>
  <c r="AC130" i="5"/>
  <c r="AC131" i="5"/>
  <c r="AC100" i="5"/>
  <c r="AC132" i="5"/>
  <c r="AC81" i="5"/>
  <c r="AC101" i="5"/>
  <c r="AC133" i="5"/>
  <c r="AC102" i="5"/>
  <c r="AC134" i="5"/>
  <c r="AC84" i="5"/>
  <c r="AC103" i="5"/>
  <c r="AC135" i="5"/>
  <c r="AC86" i="5"/>
  <c r="AC104" i="5"/>
  <c r="AC136" i="5"/>
  <c r="AP136" i="5" s="1"/>
  <c r="AC79" i="5"/>
  <c r="AC105" i="5"/>
  <c r="AC106" i="5"/>
  <c r="AC107" i="5"/>
  <c r="AC108" i="5"/>
  <c r="AC109" i="5"/>
  <c r="AC110" i="5"/>
  <c r="AC137" i="5"/>
  <c r="AC54" i="5"/>
  <c r="AC111" i="5"/>
  <c r="AC138" i="5"/>
  <c r="AC76" i="5"/>
  <c r="AC82" i="5"/>
  <c r="AC112" i="5"/>
  <c r="AC113" i="5"/>
  <c r="AC114" i="5"/>
  <c r="AC139" i="5"/>
  <c r="AC140" i="5"/>
  <c r="AC141" i="5"/>
  <c r="AC142" i="5"/>
  <c r="AC143" i="5"/>
  <c r="AC144" i="5"/>
  <c r="AC145" i="5"/>
  <c r="AC115" i="5"/>
  <c r="AC116" i="5"/>
  <c r="AC85" i="5"/>
  <c r="AC117" i="5"/>
  <c r="AC147" i="5"/>
  <c r="AC118" i="5"/>
  <c r="AC148" i="5"/>
  <c r="AE2" i="5"/>
  <c r="AA162" i="5"/>
  <c r="AO162" i="5" s="1"/>
  <c r="AA161" i="5"/>
  <c r="AA160" i="5"/>
  <c r="Z159" i="5"/>
  <c r="Z158" i="5"/>
  <c r="X157" i="5"/>
  <c r="AK155" i="5"/>
  <c r="AG154" i="5"/>
  <c r="X153" i="5"/>
  <c r="AK151" i="5"/>
  <c r="Z149" i="5"/>
  <c r="AD145" i="5"/>
  <c r="AF53" i="5"/>
  <c r="AF54" i="5"/>
  <c r="AF55" i="5"/>
  <c r="AF56" i="5"/>
  <c r="AF3" i="5"/>
  <c r="AF4" i="5"/>
  <c r="AF5" i="5"/>
  <c r="AF6" i="5"/>
  <c r="AF57" i="5"/>
  <c r="AF7" i="5"/>
  <c r="AF8" i="5"/>
  <c r="AF9" i="5"/>
  <c r="AF10" i="5"/>
  <c r="AF11" i="5"/>
  <c r="AF12" i="5"/>
  <c r="AF13" i="5"/>
  <c r="AF14" i="5"/>
  <c r="AF15" i="5"/>
  <c r="AF16" i="5"/>
  <c r="AF58" i="5"/>
  <c r="AF59" i="5"/>
  <c r="AP59" i="5" s="1"/>
  <c r="AF60" i="5"/>
  <c r="AF61" i="5"/>
  <c r="AF62" i="5"/>
  <c r="AF63" i="5"/>
  <c r="AF64" i="5"/>
  <c r="AF17" i="5"/>
  <c r="AF65" i="5"/>
  <c r="AF18" i="5"/>
  <c r="AF66" i="5"/>
  <c r="AF19" i="5"/>
  <c r="AF67" i="5"/>
  <c r="AF20" i="5"/>
  <c r="AF68" i="5"/>
  <c r="AF21" i="5"/>
  <c r="AF22" i="5"/>
  <c r="AF69" i="5"/>
  <c r="AF23" i="5"/>
  <c r="AF24" i="5"/>
  <c r="AF25" i="5"/>
  <c r="AF26" i="5"/>
  <c r="AF27" i="5"/>
  <c r="AF28" i="5"/>
  <c r="AF70" i="5"/>
  <c r="AF29" i="5"/>
  <c r="AF30" i="5"/>
  <c r="AF31" i="5"/>
  <c r="AF32" i="5"/>
  <c r="AF33" i="5"/>
  <c r="AF34" i="5"/>
  <c r="AF35" i="5"/>
  <c r="AF36" i="5"/>
  <c r="AF37" i="5"/>
  <c r="AF38" i="5"/>
  <c r="AF71" i="5"/>
  <c r="AF72" i="5"/>
  <c r="AF73" i="5"/>
  <c r="AF74" i="5"/>
  <c r="AF75" i="5"/>
  <c r="AF76" i="5"/>
  <c r="AF77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2" i="5"/>
  <c r="AF85" i="5"/>
  <c r="AF115" i="5"/>
  <c r="AF116" i="5"/>
  <c r="AF146" i="5"/>
  <c r="AF80" i="5"/>
  <c r="AF117" i="5"/>
  <c r="AF147" i="5"/>
  <c r="AF118" i="5"/>
  <c r="AF148" i="5"/>
  <c r="AF83" i="5"/>
  <c r="AF119" i="5"/>
  <c r="AF120" i="5"/>
  <c r="AF121" i="5"/>
  <c r="AF122" i="5"/>
  <c r="AF123" i="5"/>
  <c r="AF124" i="5"/>
  <c r="AF149" i="5"/>
  <c r="AF150" i="5"/>
  <c r="AF151" i="5"/>
  <c r="AF152" i="5"/>
  <c r="AF153" i="5"/>
  <c r="AF154" i="5"/>
  <c r="AF155" i="5"/>
  <c r="AF156" i="5"/>
  <c r="AF51" i="5"/>
  <c r="AF78" i="5"/>
  <c r="AF125" i="5"/>
  <c r="AP125" i="5" s="1"/>
  <c r="AF88" i="5"/>
  <c r="AF89" i="5"/>
  <c r="AF90" i="5"/>
  <c r="AF91" i="5"/>
  <c r="AF92" i="5"/>
  <c r="AF93" i="5"/>
  <c r="AF94" i="5"/>
  <c r="AF95" i="5"/>
  <c r="AF96" i="5"/>
  <c r="AF97" i="5"/>
  <c r="AF98" i="5"/>
  <c r="AF81" i="5"/>
  <c r="AF87" i="5"/>
  <c r="AF99" i="5"/>
  <c r="AF126" i="5"/>
  <c r="AF127" i="5"/>
  <c r="AF128" i="5"/>
  <c r="AF129" i="5"/>
  <c r="AF130" i="5"/>
  <c r="AF131" i="5"/>
  <c r="AF100" i="5"/>
  <c r="AF132" i="5"/>
  <c r="AF84" i="5"/>
  <c r="AF101" i="5"/>
  <c r="AF133" i="5"/>
  <c r="AF102" i="5"/>
  <c r="AF134" i="5"/>
  <c r="AF79" i="5"/>
  <c r="AF86" i="5"/>
  <c r="AF103" i="5"/>
  <c r="AF135" i="5"/>
  <c r="AF104" i="5"/>
  <c r="AF136" i="5"/>
  <c r="AF82" i="5"/>
  <c r="AF105" i="5"/>
  <c r="AF106" i="5"/>
  <c r="AF107" i="5"/>
  <c r="AF108" i="5"/>
  <c r="AF109" i="5"/>
  <c r="AF110" i="5"/>
  <c r="AF137" i="5"/>
  <c r="AF111" i="5"/>
  <c r="AF138" i="5"/>
  <c r="AF112" i="5"/>
  <c r="AF113" i="5"/>
  <c r="AF114" i="5"/>
  <c r="AF139" i="5"/>
  <c r="AF140" i="5"/>
  <c r="AF141" i="5"/>
  <c r="AF142" i="5"/>
  <c r="AF143" i="5"/>
  <c r="AF144" i="5"/>
  <c r="AF145" i="5"/>
  <c r="W23" i="5"/>
  <c r="W71" i="5"/>
  <c r="W39" i="5"/>
  <c r="W87" i="5"/>
  <c r="W7" i="5"/>
  <c r="W132" i="5"/>
  <c r="W86" i="5"/>
  <c r="W147" i="5"/>
  <c r="W118" i="5"/>
  <c r="W148" i="5"/>
  <c r="W119" i="5"/>
  <c r="AO119" i="5" s="1"/>
  <c r="Z162" i="5"/>
  <c r="Z161" i="5"/>
  <c r="Y160" i="5"/>
  <c r="Y159" i="5"/>
  <c r="Y158" i="5"/>
  <c r="AN156" i="5"/>
  <c r="AJ155" i="5"/>
  <c r="AA154" i="5"/>
  <c r="AN152" i="5"/>
  <c r="AI39" i="5"/>
  <c r="AI40" i="5"/>
  <c r="AI41" i="5"/>
  <c r="AI42" i="5"/>
  <c r="AI43" i="5"/>
  <c r="AI44" i="5"/>
  <c r="AI45" i="5"/>
  <c r="AP45" i="5" s="1"/>
  <c r="AI46" i="5"/>
  <c r="AI47" i="5"/>
  <c r="AI48" i="5"/>
  <c r="AI49" i="5"/>
  <c r="AI50" i="5"/>
  <c r="AI51" i="5"/>
  <c r="AI52" i="5"/>
  <c r="AI53" i="5"/>
  <c r="AI54" i="5"/>
  <c r="AI55" i="5"/>
  <c r="AI56" i="5"/>
  <c r="AI3" i="5"/>
  <c r="AI4" i="5"/>
  <c r="AI5" i="5"/>
  <c r="AI6" i="5"/>
  <c r="AI57" i="5"/>
  <c r="AO57" i="5" s="1"/>
  <c r="AI7" i="5"/>
  <c r="AI8" i="5"/>
  <c r="AI9" i="5"/>
  <c r="AI10" i="5"/>
  <c r="AI11" i="5"/>
  <c r="AI12" i="5"/>
  <c r="AI13" i="5"/>
  <c r="AI14" i="5"/>
  <c r="AI15" i="5"/>
  <c r="AI16" i="5"/>
  <c r="AI58" i="5"/>
  <c r="AI59" i="5"/>
  <c r="AI60" i="5"/>
  <c r="AI61" i="5"/>
  <c r="AI62" i="5"/>
  <c r="AI63" i="5"/>
  <c r="AI64" i="5"/>
  <c r="AI17" i="5"/>
  <c r="AI65" i="5"/>
  <c r="AI18" i="5"/>
  <c r="AI66" i="5"/>
  <c r="AI19" i="5"/>
  <c r="AI67" i="5"/>
  <c r="AI20" i="5"/>
  <c r="AI68" i="5"/>
  <c r="AI21" i="5"/>
  <c r="AI22" i="5"/>
  <c r="AI69" i="5"/>
  <c r="AI29" i="5"/>
  <c r="AI30" i="5"/>
  <c r="AI31" i="5"/>
  <c r="AI32" i="5"/>
  <c r="AI33" i="5"/>
  <c r="AI34" i="5"/>
  <c r="AI35" i="5"/>
  <c r="AI36" i="5"/>
  <c r="AI37" i="5"/>
  <c r="AI38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105" i="5"/>
  <c r="AI106" i="5"/>
  <c r="AI107" i="5"/>
  <c r="AI108" i="5"/>
  <c r="AI109" i="5"/>
  <c r="AI110" i="5"/>
  <c r="AI137" i="5"/>
  <c r="AI111" i="5"/>
  <c r="AI138" i="5"/>
  <c r="AI112" i="5"/>
  <c r="AI113" i="5"/>
  <c r="AI114" i="5"/>
  <c r="AI139" i="5"/>
  <c r="AI140" i="5"/>
  <c r="AI141" i="5"/>
  <c r="AI142" i="5"/>
  <c r="AI143" i="5"/>
  <c r="AI144" i="5"/>
  <c r="AI145" i="5"/>
  <c r="AI85" i="5"/>
  <c r="AI115" i="5"/>
  <c r="AI116" i="5"/>
  <c r="AI146" i="5"/>
  <c r="AI117" i="5"/>
  <c r="AI147" i="5"/>
  <c r="AI70" i="5"/>
  <c r="AI118" i="5"/>
  <c r="AI119" i="5"/>
  <c r="AI120" i="5"/>
  <c r="AI121" i="5"/>
  <c r="AI122" i="5"/>
  <c r="AI123" i="5"/>
  <c r="AI124" i="5"/>
  <c r="AI149" i="5"/>
  <c r="AI23" i="5"/>
  <c r="AI150" i="5"/>
  <c r="AI151" i="5"/>
  <c r="AI24" i="5"/>
  <c r="AI125" i="5"/>
  <c r="AI25" i="5"/>
  <c r="AI88" i="5"/>
  <c r="AI89" i="5"/>
  <c r="AI90" i="5"/>
  <c r="AI91" i="5"/>
  <c r="AI92" i="5"/>
  <c r="AI93" i="5"/>
  <c r="AI94" i="5"/>
  <c r="AI95" i="5"/>
  <c r="AI96" i="5"/>
  <c r="AI97" i="5"/>
  <c r="AI98" i="5"/>
  <c r="AI26" i="5"/>
  <c r="AI87" i="5"/>
  <c r="AI99" i="5"/>
  <c r="AI126" i="5"/>
  <c r="AI127" i="5"/>
  <c r="AI128" i="5"/>
  <c r="AI129" i="5"/>
  <c r="AI130" i="5"/>
  <c r="AI131" i="5"/>
  <c r="AI27" i="5"/>
  <c r="AI100" i="5"/>
  <c r="AI132" i="5"/>
  <c r="AI28" i="5"/>
  <c r="AI101" i="5"/>
  <c r="AI133" i="5"/>
  <c r="AI102" i="5"/>
  <c r="AI134" i="5"/>
  <c r="AI86" i="5"/>
  <c r="AI103" i="5"/>
  <c r="AI135" i="5"/>
  <c r="AI104" i="5"/>
  <c r="AI136" i="5"/>
  <c r="X18" i="5"/>
  <c r="X66" i="5"/>
  <c r="X19" i="5"/>
  <c r="AP19" i="5" s="1"/>
  <c r="X67" i="5"/>
  <c r="X20" i="5"/>
  <c r="X68" i="5"/>
  <c r="X21" i="5"/>
  <c r="X22" i="5"/>
  <c r="X69" i="5"/>
  <c r="X23" i="5"/>
  <c r="X24" i="5"/>
  <c r="X25" i="5"/>
  <c r="X26" i="5"/>
  <c r="X27" i="5"/>
  <c r="X28" i="5"/>
  <c r="X70" i="5"/>
  <c r="X29" i="5"/>
  <c r="AP29" i="5" s="1"/>
  <c r="X30" i="5"/>
  <c r="X31" i="5"/>
  <c r="AP31" i="5" s="1"/>
  <c r="X32" i="5"/>
  <c r="X33" i="5"/>
  <c r="X34" i="5"/>
  <c r="X35" i="5"/>
  <c r="X36" i="5"/>
  <c r="X37" i="5"/>
  <c r="X38" i="5"/>
  <c r="X71" i="5"/>
  <c r="X72" i="5"/>
  <c r="X73" i="5"/>
  <c r="X74" i="5"/>
  <c r="X75" i="5"/>
  <c r="X76" i="5"/>
  <c r="X77" i="5"/>
  <c r="X78" i="5"/>
  <c r="X39" i="5"/>
  <c r="AP39" i="5" s="1"/>
  <c r="X40" i="5"/>
  <c r="X41" i="5"/>
  <c r="X42" i="5"/>
  <c r="X43" i="5"/>
  <c r="X44" i="5"/>
  <c r="X45" i="5"/>
  <c r="X46" i="5"/>
  <c r="X47" i="5"/>
  <c r="X48" i="5"/>
  <c r="X49" i="5"/>
  <c r="X50" i="5"/>
  <c r="X86" i="5"/>
  <c r="X51" i="5"/>
  <c r="X87" i="5"/>
  <c r="AP87" i="5" s="1"/>
  <c r="X52" i="5"/>
  <c r="X53" i="5"/>
  <c r="AP53" i="5" s="1"/>
  <c r="X54" i="5"/>
  <c r="X55" i="5"/>
  <c r="X56" i="5"/>
  <c r="X3" i="5"/>
  <c r="X4" i="5"/>
  <c r="X5" i="5"/>
  <c r="X6" i="5"/>
  <c r="X57" i="5"/>
  <c r="X17" i="5"/>
  <c r="X65" i="5"/>
  <c r="X88" i="5"/>
  <c r="X99" i="5"/>
  <c r="AP99" i="5" s="1"/>
  <c r="X127" i="5"/>
  <c r="X128" i="5"/>
  <c r="X129" i="5"/>
  <c r="X130" i="5"/>
  <c r="AP130" i="5" s="1"/>
  <c r="X131" i="5"/>
  <c r="X7" i="5"/>
  <c r="X83" i="5"/>
  <c r="X100" i="5"/>
  <c r="X132" i="5"/>
  <c r="X162" i="5"/>
  <c r="X8" i="5"/>
  <c r="X101" i="5"/>
  <c r="X133" i="5"/>
  <c r="X9" i="5"/>
  <c r="X58" i="5"/>
  <c r="X102" i="5"/>
  <c r="X134" i="5"/>
  <c r="X10" i="5"/>
  <c r="X59" i="5"/>
  <c r="X103" i="5"/>
  <c r="AO103" i="5" s="1"/>
  <c r="X135" i="5"/>
  <c r="X11" i="5"/>
  <c r="X60" i="5"/>
  <c r="X81" i="5"/>
  <c r="X104" i="5"/>
  <c r="X136" i="5"/>
  <c r="X12" i="5"/>
  <c r="X61" i="5"/>
  <c r="X105" i="5"/>
  <c r="X106" i="5"/>
  <c r="X107" i="5"/>
  <c r="X108" i="5"/>
  <c r="X109" i="5"/>
  <c r="X110" i="5"/>
  <c r="X137" i="5"/>
  <c r="X13" i="5"/>
  <c r="AP13" i="5" s="1"/>
  <c r="X62" i="5"/>
  <c r="X84" i="5"/>
  <c r="X111" i="5"/>
  <c r="X138" i="5"/>
  <c r="X14" i="5"/>
  <c r="X63" i="5"/>
  <c r="X112" i="5"/>
  <c r="X113" i="5"/>
  <c r="X114" i="5"/>
  <c r="X139" i="5"/>
  <c r="X140" i="5"/>
  <c r="X141" i="5"/>
  <c r="X142" i="5"/>
  <c r="X143" i="5"/>
  <c r="X15" i="5"/>
  <c r="X64" i="5"/>
  <c r="AP64" i="5" s="1"/>
  <c r="X79" i="5"/>
  <c r="X115" i="5"/>
  <c r="X116" i="5"/>
  <c r="X146" i="5"/>
  <c r="X16" i="5"/>
  <c r="X117" i="5"/>
  <c r="X147" i="5"/>
  <c r="X82" i="5"/>
  <c r="X118" i="5"/>
  <c r="X148" i="5"/>
  <c r="X119" i="5"/>
  <c r="X120" i="5"/>
  <c r="X121" i="5"/>
  <c r="X122" i="5"/>
  <c r="X123" i="5"/>
  <c r="X124" i="5"/>
  <c r="AP124" i="5" s="1"/>
  <c r="X149" i="5"/>
  <c r="X85" i="5"/>
  <c r="X80" i="5"/>
  <c r="X89" i="5"/>
  <c r="X90" i="5"/>
  <c r="X91" i="5"/>
  <c r="X92" i="5"/>
  <c r="X93" i="5"/>
  <c r="X94" i="5"/>
  <c r="X95" i="5"/>
  <c r="X96" i="5"/>
  <c r="X97" i="5"/>
  <c r="X98" i="5"/>
  <c r="X126" i="5"/>
  <c r="AO126" i="5" s="1"/>
  <c r="X161" i="5"/>
  <c r="X160" i="5"/>
  <c r="AP160" i="5" s="1"/>
  <c r="X159" i="5"/>
  <c r="X158" i="5"/>
  <c r="AM156" i="5"/>
  <c r="AI155" i="5"/>
  <c r="Z154" i="5"/>
  <c r="AM152" i="5"/>
  <c r="AL144" i="5"/>
  <c r="AH51" i="5"/>
  <c r="AH52" i="5"/>
  <c r="AH53" i="5"/>
  <c r="AH54" i="5"/>
  <c r="AH55" i="5"/>
  <c r="AH56" i="5"/>
  <c r="AH3" i="5"/>
  <c r="AH4" i="5"/>
  <c r="AH5" i="5"/>
  <c r="AH6" i="5"/>
  <c r="AH57" i="5"/>
  <c r="AH7" i="5"/>
  <c r="AH8" i="5"/>
  <c r="AH9" i="5"/>
  <c r="AH10" i="5"/>
  <c r="AH11" i="5"/>
  <c r="AH12" i="5"/>
  <c r="AH13" i="5"/>
  <c r="AH14" i="5"/>
  <c r="AH15" i="5"/>
  <c r="AH16" i="5"/>
  <c r="AH58" i="5"/>
  <c r="AH59" i="5"/>
  <c r="AH60" i="5"/>
  <c r="AH61" i="5"/>
  <c r="AP61" i="5" s="1"/>
  <c r="AH62" i="5"/>
  <c r="AH63" i="5"/>
  <c r="AH64" i="5"/>
  <c r="AH17" i="5"/>
  <c r="AH65" i="5"/>
  <c r="AH18" i="5"/>
  <c r="AH66" i="5"/>
  <c r="AH19" i="5"/>
  <c r="AH67" i="5"/>
  <c r="AH20" i="5"/>
  <c r="AH68" i="5"/>
  <c r="AH21" i="5"/>
  <c r="AH22" i="5"/>
  <c r="AH69" i="5"/>
  <c r="AH23" i="5"/>
  <c r="AH24" i="5"/>
  <c r="AH25" i="5"/>
  <c r="AH26" i="5"/>
  <c r="AH27" i="5"/>
  <c r="AH28" i="5"/>
  <c r="AH70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31" i="5"/>
  <c r="AH111" i="5"/>
  <c r="AH138" i="5"/>
  <c r="AH32" i="5"/>
  <c r="AH112" i="5"/>
  <c r="AH113" i="5"/>
  <c r="AH114" i="5"/>
  <c r="AH139" i="5"/>
  <c r="AH140" i="5"/>
  <c r="AH141" i="5"/>
  <c r="AH142" i="5"/>
  <c r="AH143" i="5"/>
  <c r="AH144" i="5"/>
  <c r="AH145" i="5"/>
  <c r="AH33" i="5"/>
  <c r="AH77" i="5"/>
  <c r="AH85" i="5"/>
  <c r="AH115" i="5"/>
  <c r="AH116" i="5"/>
  <c r="AH146" i="5"/>
  <c r="AH34" i="5"/>
  <c r="AH80" i="5"/>
  <c r="AH117" i="5"/>
  <c r="AH147" i="5"/>
  <c r="AH35" i="5"/>
  <c r="AH118" i="5"/>
  <c r="AH148" i="5"/>
  <c r="AH36" i="5"/>
  <c r="AH83" i="5"/>
  <c r="AH119" i="5"/>
  <c r="AH120" i="5"/>
  <c r="AP120" i="5" s="1"/>
  <c r="AH121" i="5"/>
  <c r="AH122" i="5"/>
  <c r="AH123" i="5"/>
  <c r="AH124" i="5"/>
  <c r="AH37" i="5"/>
  <c r="AH71" i="5"/>
  <c r="AH150" i="5"/>
  <c r="AH38" i="5"/>
  <c r="AH72" i="5"/>
  <c r="AH78" i="5"/>
  <c r="AH125" i="5"/>
  <c r="AH73" i="5"/>
  <c r="AH88" i="5"/>
  <c r="AH89" i="5"/>
  <c r="AH90" i="5"/>
  <c r="AH91" i="5"/>
  <c r="AH92" i="5"/>
  <c r="AH93" i="5"/>
  <c r="AH94" i="5"/>
  <c r="AH95" i="5"/>
  <c r="AH96" i="5"/>
  <c r="AH97" i="5"/>
  <c r="AH98" i="5"/>
  <c r="AH74" i="5"/>
  <c r="AH81" i="5"/>
  <c r="AH87" i="5"/>
  <c r="AH99" i="5"/>
  <c r="AH126" i="5"/>
  <c r="AH127" i="5"/>
  <c r="AH128" i="5"/>
  <c r="AH129" i="5"/>
  <c r="AH130" i="5"/>
  <c r="AH131" i="5"/>
  <c r="AH100" i="5"/>
  <c r="AH132" i="5"/>
  <c r="AH75" i="5"/>
  <c r="AH84" i="5"/>
  <c r="AH101" i="5"/>
  <c r="AH133" i="5"/>
  <c r="AH102" i="5"/>
  <c r="AH134" i="5"/>
  <c r="AH79" i="5"/>
  <c r="AH86" i="5"/>
  <c r="AH103" i="5"/>
  <c r="AH135" i="5"/>
  <c r="AH29" i="5"/>
  <c r="AH76" i="5"/>
  <c r="AH104" i="5"/>
  <c r="AH136" i="5"/>
  <c r="AH30" i="5"/>
  <c r="AH82" i="5"/>
  <c r="AH105" i="5"/>
  <c r="AH106" i="5"/>
  <c r="AH107" i="5"/>
  <c r="AH108" i="5"/>
  <c r="AH109" i="5"/>
  <c r="AH110" i="5"/>
  <c r="AH137" i="5"/>
  <c r="Y17" i="5"/>
  <c r="Y65" i="5"/>
  <c r="Y18" i="5"/>
  <c r="Y66" i="5"/>
  <c r="Y19" i="5"/>
  <c r="Y67" i="5"/>
  <c r="AP67" i="5" s="1"/>
  <c r="Y20" i="5"/>
  <c r="Y68" i="5"/>
  <c r="Y21" i="5"/>
  <c r="Y22" i="5"/>
  <c r="Y69" i="5"/>
  <c r="Y23" i="5"/>
  <c r="Y24" i="5"/>
  <c r="Y25" i="5"/>
  <c r="Y26" i="5"/>
  <c r="Y27" i="5"/>
  <c r="Y28" i="5"/>
  <c r="Y70" i="5"/>
  <c r="Y29" i="5"/>
  <c r="Y30" i="5"/>
  <c r="Y31" i="5"/>
  <c r="Y32" i="5"/>
  <c r="AP32" i="5" s="1"/>
  <c r="Y33" i="5"/>
  <c r="Y34" i="5"/>
  <c r="Y35" i="5"/>
  <c r="Y36" i="5"/>
  <c r="Y37" i="5"/>
  <c r="Y38" i="5"/>
  <c r="Y71" i="5"/>
  <c r="Y72" i="5"/>
  <c r="Y73" i="5"/>
  <c r="Y74" i="5"/>
  <c r="Y75" i="5"/>
  <c r="Y76" i="5"/>
  <c r="Y77" i="5"/>
  <c r="Y78" i="5"/>
  <c r="Y79" i="5"/>
  <c r="Y80" i="5"/>
  <c r="AP80" i="5" s="1"/>
  <c r="Y81" i="5"/>
  <c r="Y82" i="5"/>
  <c r="Y83" i="5"/>
  <c r="Y84" i="5"/>
  <c r="Y85" i="5"/>
  <c r="Y39" i="5"/>
  <c r="Y40" i="5"/>
  <c r="Y41" i="5"/>
  <c r="Y42" i="5"/>
  <c r="Y43" i="5"/>
  <c r="Y44" i="5"/>
  <c r="Y45" i="5"/>
  <c r="Y46" i="5"/>
  <c r="Y47" i="5"/>
  <c r="Y48" i="5"/>
  <c r="Y49" i="5"/>
  <c r="AP49" i="5" s="1"/>
  <c r="Y50" i="5"/>
  <c r="Y86" i="5"/>
  <c r="Y51" i="5"/>
  <c r="Y87" i="5"/>
  <c r="Y52" i="5"/>
  <c r="Y53" i="5"/>
  <c r="Y54" i="5"/>
  <c r="Y55" i="5"/>
  <c r="Y56" i="5"/>
  <c r="Y7" i="5"/>
  <c r="Y8" i="5"/>
  <c r="Y9" i="5"/>
  <c r="Y10" i="5"/>
  <c r="Y11" i="5"/>
  <c r="Y12" i="5"/>
  <c r="Y13" i="5"/>
  <c r="Y14" i="5"/>
  <c r="Y15" i="5"/>
  <c r="Y16" i="5"/>
  <c r="Y58" i="5"/>
  <c r="Y59" i="5"/>
  <c r="Y60" i="5"/>
  <c r="Y61" i="5"/>
  <c r="Y62" i="5"/>
  <c r="Y63" i="5"/>
  <c r="Y64" i="5"/>
  <c r="Y6" i="5"/>
  <c r="Y89" i="5"/>
  <c r="Y90" i="5"/>
  <c r="Y91" i="5"/>
  <c r="Y92" i="5"/>
  <c r="Y93" i="5"/>
  <c r="AP93" i="5" s="1"/>
  <c r="Y94" i="5"/>
  <c r="Y95" i="5"/>
  <c r="Y96" i="5"/>
  <c r="Y97" i="5"/>
  <c r="Y98" i="5"/>
  <c r="Y57" i="5"/>
  <c r="Y88" i="5"/>
  <c r="Y99" i="5"/>
  <c r="Y127" i="5"/>
  <c r="Y128" i="5"/>
  <c r="Y129" i="5"/>
  <c r="Y130" i="5"/>
  <c r="Y131" i="5"/>
  <c r="Y161" i="5"/>
  <c r="Y100" i="5"/>
  <c r="Y132" i="5"/>
  <c r="AP132" i="5" s="1"/>
  <c r="Y101" i="5"/>
  <c r="Y133" i="5"/>
  <c r="Y102" i="5"/>
  <c r="Y134" i="5"/>
  <c r="Y103" i="5"/>
  <c r="Y135" i="5"/>
  <c r="Y104" i="5"/>
  <c r="Y136" i="5"/>
  <c r="Y106" i="5"/>
  <c r="Y107" i="5"/>
  <c r="Y108" i="5"/>
  <c r="Y109" i="5"/>
  <c r="Y110" i="5"/>
  <c r="Y137" i="5"/>
  <c r="Y111" i="5"/>
  <c r="Y138" i="5"/>
  <c r="AO138" i="5" s="1"/>
  <c r="Y112" i="5"/>
  <c r="Y113" i="5"/>
  <c r="Y114" i="5"/>
  <c r="Y139" i="5"/>
  <c r="Y140" i="5"/>
  <c r="Y141" i="5"/>
  <c r="Y142" i="5"/>
  <c r="Y143" i="5"/>
  <c r="Y144" i="5"/>
  <c r="Y145" i="5"/>
  <c r="Y115" i="5"/>
  <c r="Y116" i="5"/>
  <c r="Y146" i="5"/>
  <c r="Y117" i="5"/>
  <c r="Y147" i="5"/>
  <c r="Y118" i="5"/>
  <c r="AO118" i="5" s="1"/>
  <c r="Y148" i="5"/>
  <c r="Y3" i="5"/>
  <c r="Y119" i="5"/>
  <c r="Y120" i="5"/>
  <c r="Y121" i="5"/>
  <c r="Y122" i="5"/>
  <c r="Y123" i="5"/>
  <c r="Y124" i="5"/>
  <c r="Y4" i="5"/>
  <c r="Y5" i="5"/>
  <c r="W160" i="5"/>
  <c r="AN157" i="5"/>
  <c r="AL156" i="5"/>
  <c r="AH155" i="5"/>
  <c r="Y154" i="5"/>
  <c r="AL152" i="5"/>
  <c r="AL148" i="5"/>
  <c r="AD144" i="5"/>
  <c r="AG52" i="5"/>
  <c r="AG53" i="5"/>
  <c r="AG54" i="5"/>
  <c r="AG55" i="5"/>
  <c r="AG56" i="5"/>
  <c r="AG3" i="5"/>
  <c r="AG4" i="5"/>
  <c r="AG5" i="5"/>
  <c r="AG6" i="5"/>
  <c r="AG57" i="5"/>
  <c r="AG7" i="5"/>
  <c r="AG8" i="5"/>
  <c r="AG9" i="5"/>
  <c r="AG10" i="5"/>
  <c r="AG11" i="5"/>
  <c r="AG12" i="5"/>
  <c r="AG13" i="5"/>
  <c r="AG14" i="5"/>
  <c r="AG15" i="5"/>
  <c r="AG16" i="5"/>
  <c r="AG58" i="5"/>
  <c r="AG59" i="5"/>
  <c r="AG60" i="5"/>
  <c r="AG61" i="5"/>
  <c r="AG62" i="5"/>
  <c r="AG63" i="5"/>
  <c r="AG64" i="5"/>
  <c r="AG17" i="5"/>
  <c r="AG65" i="5"/>
  <c r="AG18" i="5"/>
  <c r="AG66" i="5"/>
  <c r="AG19" i="5"/>
  <c r="AG67" i="5"/>
  <c r="AG20" i="5"/>
  <c r="AG68" i="5"/>
  <c r="AG22" i="5"/>
  <c r="AG69" i="5"/>
  <c r="AG23" i="5"/>
  <c r="AG24" i="5"/>
  <c r="AG25" i="5"/>
  <c r="AG26" i="5"/>
  <c r="AG27" i="5"/>
  <c r="AG28" i="5"/>
  <c r="AG70" i="5"/>
  <c r="AG29" i="5"/>
  <c r="AG30" i="5"/>
  <c r="AG31" i="5"/>
  <c r="AG32" i="5"/>
  <c r="AG33" i="5"/>
  <c r="AG34" i="5"/>
  <c r="AG35" i="5"/>
  <c r="AG36" i="5"/>
  <c r="AG37" i="5"/>
  <c r="AG38" i="5"/>
  <c r="AG71" i="5"/>
  <c r="AG72" i="5"/>
  <c r="AG73" i="5"/>
  <c r="AG74" i="5"/>
  <c r="AG51" i="5"/>
  <c r="AG47" i="5"/>
  <c r="AG112" i="5"/>
  <c r="AG113" i="5"/>
  <c r="AP113" i="5" s="1"/>
  <c r="AG114" i="5"/>
  <c r="AG139" i="5"/>
  <c r="AG140" i="5"/>
  <c r="AG141" i="5"/>
  <c r="AG142" i="5"/>
  <c r="AG143" i="5"/>
  <c r="AG144" i="5"/>
  <c r="AG145" i="5"/>
  <c r="AG48" i="5"/>
  <c r="AG77" i="5"/>
  <c r="AG85" i="5"/>
  <c r="AG115" i="5"/>
  <c r="AG116" i="5"/>
  <c r="AG146" i="5"/>
  <c r="AG49" i="5"/>
  <c r="AG80" i="5"/>
  <c r="AG117" i="5"/>
  <c r="AG147" i="5"/>
  <c r="AG50" i="5"/>
  <c r="AG118" i="5"/>
  <c r="AG148" i="5"/>
  <c r="AG83" i="5"/>
  <c r="AG119" i="5"/>
  <c r="AG120" i="5"/>
  <c r="AG121" i="5"/>
  <c r="AG122" i="5"/>
  <c r="AG123" i="5"/>
  <c r="AG124" i="5"/>
  <c r="AG149" i="5"/>
  <c r="AG78" i="5"/>
  <c r="AG125" i="5"/>
  <c r="AG88" i="5"/>
  <c r="AG89" i="5"/>
  <c r="AG90" i="5"/>
  <c r="AG91" i="5"/>
  <c r="AG92" i="5"/>
  <c r="AG93" i="5"/>
  <c r="AG94" i="5"/>
  <c r="AG95" i="5"/>
  <c r="AG96" i="5"/>
  <c r="AG97" i="5"/>
  <c r="AG98" i="5"/>
  <c r="AG39" i="5"/>
  <c r="AG81" i="5"/>
  <c r="AG87" i="5"/>
  <c r="AG99" i="5"/>
  <c r="AG126" i="5"/>
  <c r="AG127" i="5"/>
  <c r="AG128" i="5"/>
  <c r="AG129" i="5"/>
  <c r="AG130" i="5"/>
  <c r="AG131" i="5"/>
  <c r="AG40" i="5"/>
  <c r="AG100" i="5"/>
  <c r="AG132" i="5"/>
  <c r="AG41" i="5"/>
  <c r="AG75" i="5"/>
  <c r="AG84" i="5"/>
  <c r="AG101" i="5"/>
  <c r="AG133" i="5"/>
  <c r="AG42" i="5"/>
  <c r="AG102" i="5"/>
  <c r="AG134" i="5"/>
  <c r="AG43" i="5"/>
  <c r="AP43" i="5" s="1"/>
  <c r="AG79" i="5"/>
  <c r="AG86" i="5"/>
  <c r="AG103" i="5"/>
  <c r="AG135" i="5"/>
  <c r="AG44" i="5"/>
  <c r="AG76" i="5"/>
  <c r="AG104" i="5"/>
  <c r="AG136" i="5"/>
  <c r="AG45" i="5"/>
  <c r="AG82" i="5"/>
  <c r="AG105" i="5"/>
  <c r="AG106" i="5"/>
  <c r="AG107" i="5"/>
  <c r="AG108" i="5"/>
  <c r="AG109" i="5"/>
  <c r="AG110" i="5"/>
  <c r="AP110" i="5" s="1"/>
  <c r="AG137" i="5"/>
  <c r="AG46" i="5"/>
  <c r="AG111" i="5"/>
  <c r="AG138" i="5"/>
  <c r="W2" i="5"/>
  <c r="AN162" i="5"/>
  <c r="AN161" i="5"/>
  <c r="AN160" i="5"/>
  <c r="AN159" i="5"/>
  <c r="AN158" i="5"/>
  <c r="AM157" i="5"/>
  <c r="AK156" i="5"/>
  <c r="AG155" i="5"/>
  <c r="X154" i="5"/>
  <c r="AA151" i="5"/>
  <c r="AI148" i="5"/>
  <c r="X144" i="5"/>
  <c r="AJ29" i="5"/>
  <c r="AJ30" i="5"/>
  <c r="AJ31" i="5"/>
  <c r="AJ32" i="5"/>
  <c r="AJ33" i="5"/>
  <c r="AJ34" i="5"/>
  <c r="AJ35" i="5"/>
  <c r="AJ36" i="5"/>
  <c r="AJ37" i="5"/>
  <c r="AJ38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3" i="5"/>
  <c r="AJ4" i="5"/>
  <c r="AJ5" i="5"/>
  <c r="AJ6" i="5"/>
  <c r="AJ57" i="5"/>
  <c r="AJ7" i="5"/>
  <c r="AJ8" i="5"/>
  <c r="AJ9" i="5"/>
  <c r="AJ10" i="5"/>
  <c r="AJ11" i="5"/>
  <c r="AJ12" i="5"/>
  <c r="AJ13" i="5"/>
  <c r="AJ14" i="5"/>
  <c r="AJ15" i="5"/>
  <c r="AJ16" i="5"/>
  <c r="AJ58" i="5"/>
  <c r="AJ59" i="5"/>
  <c r="AJ60" i="5"/>
  <c r="AJ61" i="5"/>
  <c r="AJ62" i="5"/>
  <c r="AJ63" i="5"/>
  <c r="AJ64" i="5"/>
  <c r="AJ17" i="5"/>
  <c r="AJ65" i="5"/>
  <c r="AJ18" i="5"/>
  <c r="AJ66" i="5"/>
  <c r="AJ19" i="5"/>
  <c r="AJ67" i="5"/>
  <c r="AJ20" i="5"/>
  <c r="AJ68" i="5"/>
  <c r="AJ23" i="5"/>
  <c r="AJ24" i="5"/>
  <c r="AJ25" i="5"/>
  <c r="AJ26" i="5"/>
  <c r="AJ27" i="5"/>
  <c r="AJ28" i="5"/>
  <c r="AJ70" i="5"/>
  <c r="AP70" i="5" s="1"/>
  <c r="AJ104" i="5"/>
  <c r="AJ136" i="5"/>
  <c r="AJ105" i="5"/>
  <c r="AJ106" i="5"/>
  <c r="AJ107" i="5"/>
  <c r="AJ108" i="5"/>
  <c r="AJ109" i="5"/>
  <c r="AJ110" i="5"/>
  <c r="AJ137" i="5"/>
  <c r="AJ111" i="5"/>
  <c r="AJ138" i="5"/>
  <c r="AJ69" i="5"/>
  <c r="AJ112" i="5"/>
  <c r="AJ113" i="5"/>
  <c r="AJ114" i="5"/>
  <c r="AJ139" i="5"/>
  <c r="AP139" i="5" s="1"/>
  <c r="AJ140" i="5"/>
  <c r="AJ141" i="5"/>
  <c r="AJ142" i="5"/>
  <c r="AJ143" i="5"/>
  <c r="AJ144" i="5"/>
  <c r="AJ145" i="5"/>
  <c r="AJ85" i="5"/>
  <c r="AJ115" i="5"/>
  <c r="AJ116" i="5"/>
  <c r="AJ146" i="5"/>
  <c r="AJ21" i="5"/>
  <c r="AJ117" i="5"/>
  <c r="AJ22" i="5"/>
  <c r="AJ118" i="5"/>
  <c r="AJ148" i="5"/>
  <c r="AJ119" i="5"/>
  <c r="AJ120" i="5"/>
  <c r="AJ121" i="5"/>
  <c r="AJ122" i="5"/>
  <c r="AJ123" i="5"/>
  <c r="AJ124" i="5"/>
  <c r="AJ149" i="5"/>
  <c r="AJ125" i="5"/>
  <c r="AJ88" i="5"/>
  <c r="AJ89" i="5"/>
  <c r="AJ90" i="5"/>
  <c r="AJ91" i="5"/>
  <c r="AJ92" i="5"/>
  <c r="AJ93" i="5"/>
  <c r="AJ94" i="5"/>
  <c r="AJ95" i="5"/>
  <c r="AJ96" i="5"/>
  <c r="AJ97" i="5"/>
  <c r="AJ98" i="5"/>
  <c r="AJ87" i="5"/>
  <c r="AJ99" i="5"/>
  <c r="AJ126" i="5"/>
  <c r="AJ127" i="5"/>
  <c r="AJ128" i="5"/>
  <c r="AJ129" i="5"/>
  <c r="AJ130" i="5"/>
  <c r="AJ131" i="5"/>
  <c r="AJ100" i="5"/>
  <c r="AJ132" i="5"/>
  <c r="AJ101" i="5"/>
  <c r="AJ133" i="5"/>
  <c r="AJ102" i="5"/>
  <c r="AJ134" i="5"/>
  <c r="AJ86" i="5"/>
  <c r="AJ103" i="5"/>
  <c r="AJ135" i="5"/>
  <c r="X2" i="5"/>
  <c r="AM162" i="5"/>
  <c r="AM161" i="5"/>
  <c r="AM160" i="5"/>
  <c r="AM159" i="5"/>
  <c r="AM158" i="5"/>
  <c r="AL157" i="5"/>
  <c r="AJ156" i="5"/>
  <c r="AA155" i="5"/>
  <c r="AN153" i="5"/>
  <c r="AJ152" i="5"/>
  <c r="Y151" i="5"/>
  <c r="AD148" i="5"/>
  <c r="AL143" i="5"/>
  <c r="AK23" i="5"/>
  <c r="AK24" i="5"/>
  <c r="AK25" i="5"/>
  <c r="AK26" i="5"/>
  <c r="AK27" i="5"/>
  <c r="AK28" i="5"/>
  <c r="AK70" i="5"/>
  <c r="AK29" i="5"/>
  <c r="AK30" i="5"/>
  <c r="AK31" i="5"/>
  <c r="AK32" i="5"/>
  <c r="AK33" i="5"/>
  <c r="AK34" i="5"/>
  <c r="AK35" i="5"/>
  <c r="AK36" i="5"/>
  <c r="AK37" i="5"/>
  <c r="AK38" i="5"/>
  <c r="AK71" i="5"/>
  <c r="AK72" i="5"/>
  <c r="AK73" i="5"/>
  <c r="AK74" i="5"/>
  <c r="AK75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86" i="5"/>
  <c r="AK51" i="5"/>
  <c r="AK52" i="5"/>
  <c r="AK53" i="5"/>
  <c r="AK54" i="5"/>
  <c r="AK55" i="5"/>
  <c r="AK56" i="5"/>
  <c r="AK3" i="5"/>
  <c r="AK4" i="5"/>
  <c r="AK5" i="5"/>
  <c r="AK6" i="5"/>
  <c r="AK57" i="5"/>
  <c r="AK7" i="5"/>
  <c r="AK8" i="5"/>
  <c r="AK9" i="5"/>
  <c r="AK10" i="5"/>
  <c r="AK11" i="5"/>
  <c r="AK12" i="5"/>
  <c r="AK13" i="5"/>
  <c r="AK14" i="5"/>
  <c r="AK15" i="5"/>
  <c r="AK16" i="5"/>
  <c r="AK58" i="5"/>
  <c r="AK59" i="5"/>
  <c r="AK60" i="5"/>
  <c r="AK61" i="5"/>
  <c r="AK62" i="5"/>
  <c r="AK63" i="5"/>
  <c r="AK64" i="5"/>
  <c r="AK17" i="5"/>
  <c r="AK65" i="5"/>
  <c r="AK18" i="5"/>
  <c r="AK66" i="5"/>
  <c r="AK19" i="5"/>
  <c r="AK67" i="5"/>
  <c r="AK21" i="5"/>
  <c r="AK22" i="5"/>
  <c r="AK69" i="5"/>
  <c r="AK82" i="5"/>
  <c r="AK103" i="5"/>
  <c r="AK135" i="5"/>
  <c r="AK68" i="5"/>
  <c r="AK104" i="5"/>
  <c r="AK136" i="5"/>
  <c r="AK20" i="5"/>
  <c r="AO20" i="5" s="1"/>
  <c r="AK105" i="5"/>
  <c r="AK106" i="5"/>
  <c r="AK107" i="5"/>
  <c r="AK108" i="5"/>
  <c r="AK109" i="5"/>
  <c r="AK110" i="5"/>
  <c r="AK137" i="5"/>
  <c r="AK77" i="5"/>
  <c r="AK111" i="5"/>
  <c r="AK138" i="5"/>
  <c r="AK80" i="5"/>
  <c r="AK112" i="5"/>
  <c r="AK113" i="5"/>
  <c r="AK114" i="5"/>
  <c r="AK139" i="5"/>
  <c r="AK140" i="5"/>
  <c r="AK141" i="5"/>
  <c r="AK142" i="5"/>
  <c r="AK143" i="5"/>
  <c r="AK144" i="5"/>
  <c r="AK145" i="5"/>
  <c r="AK85" i="5"/>
  <c r="AK115" i="5"/>
  <c r="AK116" i="5"/>
  <c r="AK83" i="5"/>
  <c r="AK117" i="5"/>
  <c r="AK147" i="5"/>
  <c r="AK118" i="5"/>
  <c r="AK148" i="5"/>
  <c r="AK78" i="5"/>
  <c r="AK119" i="5"/>
  <c r="AK120" i="5"/>
  <c r="AK121" i="5"/>
  <c r="AK122" i="5"/>
  <c r="AK123" i="5"/>
  <c r="AK124" i="5"/>
  <c r="AK150" i="5"/>
  <c r="AK81" i="5"/>
  <c r="AK125" i="5"/>
  <c r="AK88" i="5"/>
  <c r="AK89" i="5"/>
  <c r="AK90" i="5"/>
  <c r="AK91" i="5"/>
  <c r="AK92" i="5"/>
  <c r="AK93" i="5"/>
  <c r="AK94" i="5"/>
  <c r="AK95" i="5"/>
  <c r="AK96" i="5"/>
  <c r="AK97" i="5"/>
  <c r="AK98" i="5"/>
  <c r="AK84" i="5"/>
  <c r="AK87" i="5"/>
  <c r="AK99" i="5"/>
  <c r="AK126" i="5"/>
  <c r="AK127" i="5"/>
  <c r="AK128" i="5"/>
  <c r="AK129" i="5"/>
  <c r="AK130" i="5"/>
  <c r="AK131" i="5"/>
  <c r="AK100" i="5"/>
  <c r="AK132" i="5"/>
  <c r="AK79" i="5"/>
  <c r="AK101" i="5"/>
  <c r="AK133" i="5"/>
  <c r="AK76" i="5"/>
  <c r="AK102" i="5"/>
  <c r="AK134" i="5"/>
  <c r="Y2" i="5"/>
  <c r="AL162" i="5"/>
  <c r="AL161" i="5"/>
  <c r="AL160" i="5"/>
  <c r="AL159" i="5"/>
  <c r="AK157" i="5"/>
  <c r="AI156" i="5"/>
  <c r="Z155" i="5"/>
  <c r="AM153" i="5"/>
  <c r="AI152" i="5"/>
  <c r="X151" i="5"/>
  <c r="Z148" i="5"/>
  <c r="AO148" i="5" s="1"/>
  <c r="AD143" i="5"/>
  <c r="AL21" i="5"/>
  <c r="AL22" i="5"/>
  <c r="AL69" i="5"/>
  <c r="AL23" i="5"/>
  <c r="AL24" i="5"/>
  <c r="AL25" i="5"/>
  <c r="AL26" i="5"/>
  <c r="AL27" i="5"/>
  <c r="AL28" i="5"/>
  <c r="AL70" i="5"/>
  <c r="AL29" i="5"/>
  <c r="AL30" i="5"/>
  <c r="AL31" i="5"/>
  <c r="AL32" i="5"/>
  <c r="AL33" i="5"/>
  <c r="AL34" i="5"/>
  <c r="AL35" i="5"/>
  <c r="AL36" i="5"/>
  <c r="AL37" i="5"/>
  <c r="AL38" i="5"/>
  <c r="AL71" i="5"/>
  <c r="AL72" i="5"/>
  <c r="AL73" i="5"/>
  <c r="AL74" i="5"/>
  <c r="AL75" i="5"/>
  <c r="AL76" i="5"/>
  <c r="AL77" i="5"/>
  <c r="AL78" i="5"/>
  <c r="AL79" i="5"/>
  <c r="AL80" i="5"/>
  <c r="AL81" i="5"/>
  <c r="AL82" i="5"/>
  <c r="AL83" i="5"/>
  <c r="AL84" i="5"/>
  <c r="AL85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3" i="5"/>
  <c r="AL4" i="5"/>
  <c r="AL5" i="5"/>
  <c r="AL6" i="5"/>
  <c r="AL57" i="5"/>
  <c r="AL7" i="5"/>
  <c r="AL8" i="5"/>
  <c r="AL9" i="5"/>
  <c r="AL10" i="5"/>
  <c r="AL11" i="5"/>
  <c r="AP11" i="5" s="1"/>
  <c r="AL12" i="5"/>
  <c r="AL13" i="5"/>
  <c r="AL14" i="5"/>
  <c r="AL15" i="5"/>
  <c r="AL16" i="5"/>
  <c r="AL58" i="5"/>
  <c r="AL59" i="5"/>
  <c r="AL60" i="5"/>
  <c r="AL61" i="5"/>
  <c r="AL62" i="5"/>
  <c r="AL63" i="5"/>
  <c r="AL64" i="5"/>
  <c r="AL17" i="5"/>
  <c r="AL65" i="5"/>
  <c r="AL18" i="5"/>
  <c r="AL66" i="5"/>
  <c r="AL20" i="5"/>
  <c r="AL68" i="5"/>
  <c r="AL19" i="5"/>
  <c r="AL86" i="5"/>
  <c r="AL102" i="5"/>
  <c r="AL134" i="5"/>
  <c r="AL103" i="5"/>
  <c r="AL135" i="5"/>
  <c r="AL104" i="5"/>
  <c r="AL136" i="5"/>
  <c r="AL105" i="5"/>
  <c r="AL106" i="5"/>
  <c r="AL107" i="5"/>
  <c r="AL108" i="5"/>
  <c r="AL109" i="5"/>
  <c r="AL110" i="5"/>
  <c r="AL137" i="5"/>
  <c r="AL111" i="5"/>
  <c r="AL138" i="5"/>
  <c r="AL112" i="5"/>
  <c r="AL113" i="5"/>
  <c r="AL114" i="5"/>
  <c r="AL139" i="5"/>
  <c r="AL140" i="5"/>
  <c r="AL141" i="5"/>
  <c r="AL115" i="5"/>
  <c r="AL116" i="5"/>
  <c r="AL146" i="5"/>
  <c r="AL117" i="5"/>
  <c r="AL147" i="5"/>
  <c r="AL118" i="5"/>
  <c r="AL119" i="5"/>
  <c r="AL120" i="5"/>
  <c r="AL121" i="5"/>
  <c r="AL122" i="5"/>
  <c r="AL123" i="5"/>
  <c r="AL124" i="5"/>
  <c r="AL149" i="5"/>
  <c r="AL150" i="5"/>
  <c r="AL125" i="5"/>
  <c r="AL88" i="5"/>
  <c r="AL89" i="5"/>
  <c r="AL90" i="5"/>
  <c r="AL91" i="5"/>
  <c r="AL92" i="5"/>
  <c r="AL93" i="5"/>
  <c r="AL94" i="5"/>
  <c r="AL95" i="5"/>
  <c r="AL96" i="5"/>
  <c r="AL97" i="5"/>
  <c r="AL98" i="5"/>
  <c r="AL87" i="5"/>
  <c r="AL99" i="5"/>
  <c r="AL126" i="5"/>
  <c r="AL127" i="5"/>
  <c r="AL128" i="5"/>
  <c r="AL129" i="5"/>
  <c r="AL130" i="5"/>
  <c r="AL131" i="5"/>
  <c r="AL100" i="5"/>
  <c r="AL132" i="5"/>
  <c r="AL67" i="5"/>
  <c r="AL101" i="5"/>
  <c r="AL133" i="5"/>
  <c r="Z2" i="5"/>
  <c r="AK162" i="5"/>
  <c r="AK161" i="5"/>
  <c r="AK160" i="5"/>
  <c r="AK159" i="5"/>
  <c r="AK158" i="5"/>
  <c r="AJ157" i="5"/>
  <c r="AH156" i="5"/>
  <c r="Y155" i="5"/>
  <c r="AL153" i="5"/>
  <c r="AH152" i="5"/>
  <c r="AJ150" i="5"/>
  <c r="AL142" i="5"/>
  <c r="AM20" i="5"/>
  <c r="AM68" i="5"/>
  <c r="AM21" i="5"/>
  <c r="AM22" i="5"/>
  <c r="AM69" i="5"/>
  <c r="AM23" i="5"/>
  <c r="AM24" i="5"/>
  <c r="AM25" i="5"/>
  <c r="AM26" i="5"/>
  <c r="AM27" i="5"/>
  <c r="AM28" i="5"/>
  <c r="AM70" i="5"/>
  <c r="AM29" i="5"/>
  <c r="AM30" i="5"/>
  <c r="AM31" i="5"/>
  <c r="AM32" i="5"/>
  <c r="AM33" i="5"/>
  <c r="AM34" i="5"/>
  <c r="AM35" i="5"/>
  <c r="AM36" i="5"/>
  <c r="AM37" i="5"/>
  <c r="AM38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3" i="5"/>
  <c r="AM4" i="5"/>
  <c r="AM5" i="5"/>
  <c r="AM6" i="5"/>
  <c r="AM57" i="5"/>
  <c r="AM7" i="5"/>
  <c r="AM8" i="5"/>
  <c r="AM9" i="5"/>
  <c r="AM10" i="5"/>
  <c r="AM11" i="5"/>
  <c r="AM12" i="5"/>
  <c r="AM13" i="5"/>
  <c r="AM14" i="5"/>
  <c r="AM15" i="5"/>
  <c r="AM16" i="5"/>
  <c r="AM58" i="5"/>
  <c r="AM59" i="5"/>
  <c r="AM60" i="5"/>
  <c r="AM61" i="5"/>
  <c r="AM62" i="5"/>
  <c r="AM63" i="5"/>
  <c r="AM64" i="5"/>
  <c r="AM17" i="5"/>
  <c r="AM65" i="5"/>
  <c r="AM19" i="5"/>
  <c r="AM67" i="5"/>
  <c r="AM101" i="5"/>
  <c r="AM133" i="5"/>
  <c r="AM86" i="5"/>
  <c r="AM102" i="5"/>
  <c r="AM134" i="5"/>
  <c r="AM103" i="5"/>
  <c r="AM135" i="5"/>
  <c r="AM104" i="5"/>
  <c r="AM136" i="5"/>
  <c r="AM105" i="5"/>
  <c r="AM106" i="5"/>
  <c r="AM107" i="5"/>
  <c r="AM108" i="5"/>
  <c r="AM109" i="5"/>
  <c r="AM110" i="5"/>
  <c r="AM137" i="5"/>
  <c r="AM111" i="5"/>
  <c r="AM138" i="5"/>
  <c r="AM112" i="5"/>
  <c r="AM113" i="5"/>
  <c r="AM114" i="5"/>
  <c r="AM139" i="5"/>
  <c r="AM140" i="5"/>
  <c r="AM141" i="5"/>
  <c r="AM142" i="5"/>
  <c r="AM143" i="5"/>
  <c r="AM144" i="5"/>
  <c r="AM145" i="5"/>
  <c r="AM115" i="5"/>
  <c r="AM116" i="5"/>
  <c r="AM146" i="5"/>
  <c r="AM117" i="5"/>
  <c r="AO117" i="5" s="1"/>
  <c r="AM118" i="5"/>
  <c r="AM148" i="5"/>
  <c r="AM119" i="5"/>
  <c r="AM120" i="5"/>
  <c r="AM121" i="5"/>
  <c r="AM122" i="5"/>
  <c r="AM123" i="5"/>
  <c r="AM124" i="5"/>
  <c r="AM149" i="5"/>
  <c r="AM150" i="5"/>
  <c r="AM125" i="5"/>
  <c r="AM66" i="5"/>
  <c r="AM88" i="5"/>
  <c r="AM89" i="5"/>
  <c r="AP89" i="5" s="1"/>
  <c r="AM90" i="5"/>
  <c r="AM91" i="5"/>
  <c r="AM92" i="5"/>
  <c r="AM93" i="5"/>
  <c r="AM94" i="5"/>
  <c r="AP94" i="5" s="1"/>
  <c r="AM95" i="5"/>
  <c r="AM96" i="5"/>
  <c r="AM97" i="5"/>
  <c r="AM98" i="5"/>
  <c r="AM18" i="5"/>
  <c r="AM87" i="5"/>
  <c r="AM99" i="5"/>
  <c r="AM126" i="5"/>
  <c r="AM127" i="5"/>
  <c r="AM128" i="5"/>
  <c r="AM129" i="5"/>
  <c r="AM130" i="5"/>
  <c r="AM131" i="5"/>
  <c r="AM100" i="5"/>
  <c r="AM132" i="5"/>
  <c r="AA2" i="5"/>
  <c r="AJ162" i="5"/>
  <c r="AJ161" i="5"/>
  <c r="AJ160" i="5"/>
  <c r="AJ159" i="5"/>
  <c r="AJ158" i="5"/>
  <c r="AI157" i="5"/>
  <c r="AG156" i="5"/>
  <c r="X155" i="5"/>
  <c r="AP155" i="5" s="1"/>
  <c r="AK153" i="5"/>
  <c r="AG152" i="5"/>
  <c r="AG150" i="5"/>
  <c r="AJ147" i="5"/>
  <c r="AD142" i="5"/>
  <c r="D168" i="5"/>
  <c r="D169" i="5"/>
  <c r="AO55" i="5"/>
  <c r="AP158" i="5"/>
  <c r="AP79" i="5"/>
  <c r="AP119" i="5"/>
  <c r="AP112" i="5"/>
  <c r="AP55" i="5"/>
  <c r="AP92" i="5"/>
  <c r="AP91" i="5"/>
  <c r="AP40" i="5"/>
  <c r="AP27" i="5"/>
  <c r="AP26" i="5"/>
  <c r="AP111" i="5"/>
  <c r="AP17" i="5"/>
  <c r="AP58" i="5"/>
  <c r="AP15" i="5"/>
  <c r="AP4" i="5"/>
  <c r="AP135" i="5"/>
  <c r="AO101" i="5"/>
  <c r="AO115" i="5"/>
  <c r="AO137" i="5"/>
  <c r="AO58" i="5"/>
  <c r="B13" i="7" a="1"/>
  <c r="B13" i="7" s="1"/>
  <c r="W120" i="5"/>
  <c r="W88" i="5"/>
  <c r="W72" i="5"/>
  <c r="W40" i="5"/>
  <c r="AO40" i="5" s="1"/>
  <c r="W24" i="5"/>
  <c r="W8" i="5"/>
  <c r="AO8" i="5" s="1"/>
  <c r="W38" i="5"/>
  <c r="W22" i="5"/>
  <c r="W6" i="5"/>
  <c r="AO6" i="5" s="1"/>
  <c r="W131" i="5"/>
  <c r="W85" i="5"/>
  <c r="AO85" i="5" s="1"/>
  <c r="W37" i="5"/>
  <c r="W5" i="5"/>
  <c r="W130" i="5"/>
  <c r="W116" i="5"/>
  <c r="W84" i="5"/>
  <c r="W36" i="5"/>
  <c r="W4" i="5"/>
  <c r="AO4" i="5" s="1"/>
  <c r="W145" i="5"/>
  <c r="W129" i="5"/>
  <c r="AO129" i="5" s="1"/>
  <c r="W83" i="5"/>
  <c r="W35" i="5"/>
  <c r="AO35" i="5" s="1"/>
  <c r="W3" i="5"/>
  <c r="W144" i="5"/>
  <c r="W128" i="5"/>
  <c r="W114" i="5"/>
  <c r="W98" i="5"/>
  <c r="AO98" i="5" s="1"/>
  <c r="W82" i="5"/>
  <c r="W50" i="5"/>
  <c r="W34" i="5"/>
  <c r="W143" i="5"/>
  <c r="W127" i="5"/>
  <c r="W113" i="5"/>
  <c r="W97" i="5"/>
  <c r="W81" i="5"/>
  <c r="W49" i="5"/>
  <c r="W33" i="5"/>
  <c r="G21" i="8"/>
  <c r="W158" i="5"/>
  <c r="W142" i="5"/>
  <c r="W96" i="5"/>
  <c r="AO96" i="5" s="1"/>
  <c r="W80" i="5"/>
  <c r="W64" i="5"/>
  <c r="W48" i="5"/>
  <c r="W32" i="5"/>
  <c r="W16" i="5"/>
  <c r="W157" i="5"/>
  <c r="W141" i="5"/>
  <c r="W95" i="5"/>
  <c r="W79" i="5"/>
  <c r="W63" i="5"/>
  <c r="W47" i="5"/>
  <c r="W31" i="5"/>
  <c r="W15" i="5"/>
  <c r="AO15" i="5" s="1"/>
  <c r="W156" i="5"/>
  <c r="W140" i="5"/>
  <c r="W110" i="5"/>
  <c r="W94" i="5"/>
  <c r="W78" i="5"/>
  <c r="W62" i="5"/>
  <c r="W46" i="5"/>
  <c r="W30" i="5"/>
  <c r="W14" i="5"/>
  <c r="W155" i="5"/>
  <c r="AO155" i="5" s="1"/>
  <c r="W109" i="5"/>
  <c r="W93" i="5"/>
  <c r="W77" i="5"/>
  <c r="W61" i="5"/>
  <c r="W45" i="5"/>
  <c r="W13" i="5"/>
  <c r="W154" i="5"/>
  <c r="W124" i="5"/>
  <c r="W108" i="5"/>
  <c r="W92" i="5"/>
  <c r="W76" i="5"/>
  <c r="AO76" i="5" s="1"/>
  <c r="W60" i="5"/>
  <c r="W44" i="5"/>
  <c r="AO44" i="5" s="1"/>
  <c r="W28" i="5"/>
  <c r="W12" i="5"/>
  <c r="W153" i="5"/>
  <c r="W123" i="5"/>
  <c r="W107" i="5"/>
  <c r="W91" i="5"/>
  <c r="W75" i="5"/>
  <c r="W59" i="5"/>
  <c r="W43" i="5"/>
  <c r="W27" i="5"/>
  <c r="W11" i="5"/>
  <c r="AO11" i="5" s="1"/>
  <c r="W152" i="5"/>
  <c r="AO152" i="5" s="1"/>
  <c r="W122" i="5"/>
  <c r="W106" i="5"/>
  <c r="AO106" i="5" s="1"/>
  <c r="W90" i="5"/>
  <c r="W74" i="5"/>
  <c r="AO74" i="5" s="1"/>
  <c r="W42" i="5"/>
  <c r="W26" i="5"/>
  <c r="AO26" i="5" s="1"/>
  <c r="W10" i="5"/>
  <c r="W151" i="5"/>
  <c r="W121" i="5"/>
  <c r="W89" i="5"/>
  <c r="W73" i="5"/>
  <c r="AO73" i="5" s="1"/>
  <c r="W41" i="5"/>
  <c r="W25" i="5"/>
  <c r="AO25" i="5" s="1"/>
  <c r="AB66" i="5"/>
  <c r="AP66" i="5" s="1"/>
  <c r="AB122" i="5"/>
  <c r="AB50" i="5"/>
  <c r="AP50" i="5" s="1"/>
  <c r="AB162" i="5"/>
  <c r="AB106" i="5"/>
  <c r="AP106" i="5" s="1"/>
  <c r="AB146" i="5"/>
  <c r="AO146" i="5" s="1"/>
  <c r="AB90" i="5"/>
  <c r="AP90" i="5" s="1"/>
  <c r="AB130" i="5"/>
  <c r="AB74" i="5"/>
  <c r="AP74" i="5" s="1"/>
  <c r="AB114" i="5"/>
  <c r="AP114" i="5" s="1"/>
  <c r="AB154" i="5"/>
  <c r="AB98" i="5"/>
  <c r="AP98" i="5" s="1"/>
  <c r="AB138" i="5"/>
  <c r="AB82" i="5"/>
  <c r="AP82" i="5" s="1"/>
  <c r="AB155" i="5"/>
  <c r="AB147" i="5"/>
  <c r="AB139" i="5"/>
  <c r="AO139" i="5" s="1"/>
  <c r="AB131" i="5"/>
  <c r="AP131" i="5" s="1"/>
  <c r="AB123" i="5"/>
  <c r="AP123" i="5" s="1"/>
  <c r="AB115" i="5"/>
  <c r="AB107" i="5"/>
  <c r="AP107" i="5" s="1"/>
  <c r="AB99" i="5"/>
  <c r="AB91" i="5"/>
  <c r="AB83" i="5"/>
  <c r="AP83" i="5" s="1"/>
  <c r="AB75" i="5"/>
  <c r="AB67" i="5"/>
  <c r="AB59" i="5"/>
  <c r="AB51" i="5"/>
  <c r="AO51" i="5" s="1"/>
  <c r="AB43" i="5"/>
  <c r="AB35" i="5"/>
  <c r="AP35" i="5" s="1"/>
  <c r="AB27" i="5"/>
  <c r="AB19" i="5"/>
  <c r="AB11" i="5"/>
  <c r="AB3" i="5"/>
  <c r="AP3" i="5" s="1"/>
  <c r="AB18" i="5"/>
  <c r="AB161" i="5"/>
  <c r="AO161" i="5" s="1"/>
  <c r="AB153" i="5"/>
  <c r="AP153" i="5" s="1"/>
  <c r="AB145" i="5"/>
  <c r="AP145" i="5" s="1"/>
  <c r="AB137" i="5"/>
  <c r="AP137" i="5" s="1"/>
  <c r="AB129" i="5"/>
  <c r="AP129" i="5" s="1"/>
  <c r="AB121" i="5"/>
  <c r="AP121" i="5" s="1"/>
  <c r="AB113" i="5"/>
  <c r="AB105" i="5"/>
  <c r="AP105" i="5" s="1"/>
  <c r="AB97" i="5"/>
  <c r="AB89" i="5"/>
  <c r="AB81" i="5"/>
  <c r="AP81" i="5" s="1"/>
  <c r="AB73" i="5"/>
  <c r="AP73" i="5" s="1"/>
  <c r="AB65" i="5"/>
  <c r="AO65" i="5" s="1"/>
  <c r="AB57" i="5"/>
  <c r="AP57" i="5" s="1"/>
  <c r="AB49" i="5"/>
  <c r="AB41" i="5"/>
  <c r="AP41" i="5" s="1"/>
  <c r="AB33" i="5"/>
  <c r="AP33" i="5" s="1"/>
  <c r="AB25" i="5"/>
  <c r="AP25" i="5" s="1"/>
  <c r="AB17" i="5"/>
  <c r="AO17" i="5" s="1"/>
  <c r="AB9" i="5"/>
  <c r="AP9" i="5" s="1"/>
  <c r="AB58" i="5"/>
  <c r="AB10" i="5"/>
  <c r="AB160" i="5"/>
  <c r="AB152" i="5"/>
  <c r="AP152" i="5" s="1"/>
  <c r="AB144" i="5"/>
  <c r="AP144" i="5" s="1"/>
  <c r="AB136" i="5"/>
  <c r="AB128" i="5"/>
  <c r="AP128" i="5" s="1"/>
  <c r="AB120" i="5"/>
  <c r="AB112" i="5"/>
  <c r="AO112" i="5" s="1"/>
  <c r="AB104" i="5"/>
  <c r="AP104" i="5" s="1"/>
  <c r="AB96" i="5"/>
  <c r="AP96" i="5" s="1"/>
  <c r="AB88" i="5"/>
  <c r="AP88" i="5" s="1"/>
  <c r="AB80" i="5"/>
  <c r="AB72" i="5"/>
  <c r="AP72" i="5" s="1"/>
  <c r="AB64" i="5"/>
  <c r="AB56" i="5"/>
  <c r="AO56" i="5" s="1"/>
  <c r="AB48" i="5"/>
  <c r="AP48" i="5" s="1"/>
  <c r="AB40" i="5"/>
  <c r="AB32" i="5"/>
  <c r="AB24" i="5"/>
  <c r="AP24" i="5" s="1"/>
  <c r="AB16" i="5"/>
  <c r="AP16" i="5" s="1"/>
  <c r="AB8" i="5"/>
  <c r="AP8" i="5" s="1"/>
  <c r="AB42" i="5"/>
  <c r="AP42" i="5" s="1"/>
  <c r="AB159" i="5"/>
  <c r="AO159" i="5" s="1"/>
  <c r="AB151" i="5"/>
  <c r="AB143" i="5"/>
  <c r="AB135" i="5"/>
  <c r="AO135" i="5" s="1"/>
  <c r="AB127" i="5"/>
  <c r="AP127" i="5" s="1"/>
  <c r="AB119" i="5"/>
  <c r="AB111" i="5"/>
  <c r="AO111" i="5" s="1"/>
  <c r="AB103" i="5"/>
  <c r="AB95" i="5"/>
  <c r="AP95" i="5" s="1"/>
  <c r="AB87" i="5"/>
  <c r="AB79" i="5"/>
  <c r="AB71" i="5"/>
  <c r="AP71" i="5" s="1"/>
  <c r="AB63" i="5"/>
  <c r="AP63" i="5" s="1"/>
  <c r="AB55" i="5"/>
  <c r="AB47" i="5"/>
  <c r="AP47" i="5" s="1"/>
  <c r="AB39" i="5"/>
  <c r="AB31" i="5"/>
  <c r="AB23" i="5"/>
  <c r="AB15" i="5"/>
  <c r="AB7" i="5"/>
  <c r="AP7" i="5" s="1"/>
  <c r="AB34" i="5"/>
  <c r="AP34" i="5" s="1"/>
  <c r="AB2" i="5"/>
  <c r="AB158" i="5"/>
  <c r="AB150" i="5"/>
  <c r="AB142" i="5"/>
  <c r="AP142" i="5" s="1"/>
  <c r="AB134" i="5"/>
  <c r="AP134" i="5" s="1"/>
  <c r="AB118" i="5"/>
  <c r="AB110" i="5"/>
  <c r="AB102" i="5"/>
  <c r="AB94" i="5"/>
  <c r="AB86" i="5"/>
  <c r="AB78" i="5"/>
  <c r="AP78" i="5" s="1"/>
  <c r="AB70" i="5"/>
  <c r="AO70" i="5" s="1"/>
  <c r="AB62" i="5"/>
  <c r="AP62" i="5" s="1"/>
  <c r="AB54" i="5"/>
  <c r="AP54" i="5" s="1"/>
  <c r="AB46" i="5"/>
  <c r="AP46" i="5" s="1"/>
  <c r="AB38" i="5"/>
  <c r="AP38" i="5" s="1"/>
  <c r="AB30" i="5"/>
  <c r="AP30" i="5" s="1"/>
  <c r="AB22" i="5"/>
  <c r="AP22" i="5" s="1"/>
  <c r="AB14" i="5"/>
  <c r="AP14" i="5" s="1"/>
  <c r="AB6" i="5"/>
  <c r="AP6" i="5" s="1"/>
  <c r="AB26" i="5"/>
  <c r="AB157" i="5"/>
  <c r="AP157" i="5" s="1"/>
  <c r="AB149" i="5"/>
  <c r="AP149" i="5" s="1"/>
  <c r="AB141" i="5"/>
  <c r="AB133" i="5"/>
  <c r="AO133" i="5" s="1"/>
  <c r="AB117" i="5"/>
  <c r="AP117" i="5" s="1"/>
  <c r="AB109" i="5"/>
  <c r="AP109" i="5" s="1"/>
  <c r="AB101" i="5"/>
  <c r="AP101" i="5" s="1"/>
  <c r="AB93" i="5"/>
  <c r="AB85" i="5"/>
  <c r="AP85" i="5" s="1"/>
  <c r="AB77" i="5"/>
  <c r="AB69" i="5"/>
  <c r="AO69" i="5" s="1"/>
  <c r="AB61" i="5"/>
  <c r="AB53" i="5"/>
  <c r="AB45" i="5"/>
  <c r="AB37" i="5"/>
  <c r="AP37" i="5" s="1"/>
  <c r="AB29" i="5"/>
  <c r="AB21" i="5"/>
  <c r="AO21" i="5" s="1"/>
  <c r="AB13" i="5"/>
  <c r="AB5" i="5"/>
  <c r="AP5" i="5" s="1"/>
  <c r="AB156" i="5"/>
  <c r="AP156" i="5" s="1"/>
  <c r="AB148" i="5"/>
  <c r="AB140" i="5"/>
  <c r="AP140" i="5" s="1"/>
  <c r="AB132" i="5"/>
  <c r="AB124" i="5"/>
  <c r="AB116" i="5"/>
  <c r="AB108" i="5"/>
  <c r="AP108" i="5" s="1"/>
  <c r="AB100" i="5"/>
  <c r="AP100" i="5" s="1"/>
  <c r="AB92" i="5"/>
  <c r="AB84" i="5"/>
  <c r="AP84" i="5" s="1"/>
  <c r="AB76" i="5"/>
  <c r="AP76" i="5" s="1"/>
  <c r="AB68" i="5"/>
  <c r="AP68" i="5" s="1"/>
  <c r="AB60" i="5"/>
  <c r="AP60" i="5" s="1"/>
  <c r="AB52" i="5"/>
  <c r="AO52" i="5" s="1"/>
  <c r="AB44" i="5"/>
  <c r="AP44" i="5" s="1"/>
  <c r="AB36" i="5"/>
  <c r="AP36" i="5" s="1"/>
  <c r="AB28" i="5"/>
  <c r="AB20" i="5"/>
  <c r="AP20" i="5" s="1"/>
  <c r="AB12" i="5"/>
  <c r="AP12" i="5" s="1"/>
  <c r="H21" i="8"/>
  <c r="L165" i="5"/>
  <c r="L163" i="5"/>
  <c r="L164" i="5"/>
  <c r="AO108" i="5" l="1"/>
  <c r="AO99" i="5"/>
  <c r="AP86" i="5"/>
  <c r="AP28" i="5"/>
  <c r="AP97" i="5"/>
  <c r="AP141" i="5"/>
  <c r="AO102" i="5"/>
  <c r="AP75" i="5"/>
  <c r="AP154" i="5"/>
  <c r="AP10" i="5"/>
  <c r="AO87" i="5"/>
  <c r="AO29" i="5"/>
  <c r="AP126" i="5"/>
  <c r="AP150" i="5"/>
  <c r="AP18" i="5"/>
  <c r="AQ2" i="5" s="1"/>
  <c r="AO110" i="5"/>
  <c r="AO128" i="5"/>
  <c r="AP122" i="5"/>
  <c r="AP77" i="5"/>
  <c r="AP143" i="5"/>
  <c r="AP151" i="5"/>
  <c r="D62" i="7" a="1"/>
  <c r="D62" i="7" s="1"/>
  <c r="AO147" i="5"/>
  <c r="AO86" i="5"/>
  <c r="AO23" i="5"/>
  <c r="AO2" i="5"/>
  <c r="AO100" i="5"/>
  <c r="AO43" i="5"/>
  <c r="AO75" i="5"/>
  <c r="AO12" i="5"/>
  <c r="AO14" i="5"/>
  <c r="AO157" i="5"/>
  <c r="AO116" i="5"/>
  <c r="AO18" i="5"/>
  <c r="AP147" i="5"/>
  <c r="AP52" i="5"/>
  <c r="AP133" i="5"/>
  <c r="AP162" i="5"/>
  <c r="AO134" i="5"/>
  <c r="AO143" i="5"/>
  <c r="AO42" i="5"/>
  <c r="AO28" i="5"/>
  <c r="AO30" i="5"/>
  <c r="AO16" i="5"/>
  <c r="AO34" i="5"/>
  <c r="AO130" i="5"/>
  <c r="AO104" i="5"/>
  <c r="AO149" i="5"/>
  <c r="AO66" i="5"/>
  <c r="AP21" i="5"/>
  <c r="AP51" i="5"/>
  <c r="AO54" i="5"/>
  <c r="AO46" i="5"/>
  <c r="AO5" i="5"/>
  <c r="AO125" i="5"/>
  <c r="AP69" i="5"/>
  <c r="AP2" i="5"/>
  <c r="AP159" i="5"/>
  <c r="AO32" i="5"/>
  <c r="AO50" i="5"/>
  <c r="AO136" i="5"/>
  <c r="AO90" i="5"/>
  <c r="AO60" i="5"/>
  <c r="AO62" i="5"/>
  <c r="AO48" i="5"/>
  <c r="AO82" i="5"/>
  <c r="AO37" i="5"/>
  <c r="AO7" i="5"/>
  <c r="AO150" i="5"/>
  <c r="AP23" i="5"/>
  <c r="AO71" i="5"/>
  <c r="AO78" i="5"/>
  <c r="AO64" i="5"/>
  <c r="AP56" i="5"/>
  <c r="AP118" i="5"/>
  <c r="AP102" i="5"/>
  <c r="AO122" i="5"/>
  <c r="AO92" i="5"/>
  <c r="AO94" i="5"/>
  <c r="AO80" i="5"/>
  <c r="AO114" i="5"/>
  <c r="AO131" i="5"/>
  <c r="AO105" i="5"/>
  <c r="AO53" i="5"/>
  <c r="AP103" i="5"/>
  <c r="AP65" i="5"/>
  <c r="AP148" i="5"/>
  <c r="AO124" i="5"/>
  <c r="AO144" i="5"/>
  <c r="AP138" i="5"/>
  <c r="AO140" i="5"/>
  <c r="AO142" i="5"/>
  <c r="AO22" i="5"/>
  <c r="AO19" i="5"/>
  <c r="AO132" i="5"/>
  <c r="AO27" i="5"/>
  <c r="AO154" i="5"/>
  <c r="AO156" i="5"/>
  <c r="AO158" i="5"/>
  <c r="AO3" i="5"/>
  <c r="AO38" i="5"/>
  <c r="AO67" i="5"/>
  <c r="AP161" i="5"/>
  <c r="AO9" i="5"/>
  <c r="AP146" i="5"/>
  <c r="AO41" i="5"/>
  <c r="AO59" i="5"/>
  <c r="AO45" i="5"/>
  <c r="AO31" i="5"/>
  <c r="AO33" i="5"/>
  <c r="AO83" i="5"/>
  <c r="AO24" i="5"/>
  <c r="AO68" i="5"/>
  <c r="AP116" i="5"/>
  <c r="AO160" i="5"/>
  <c r="AP115" i="5"/>
  <c r="AO61" i="5"/>
  <c r="AO49" i="5"/>
  <c r="AO89" i="5"/>
  <c r="AO91" i="5"/>
  <c r="AO77" i="5"/>
  <c r="AO63" i="5"/>
  <c r="AO81" i="5"/>
  <c r="AO145" i="5"/>
  <c r="AO72" i="5"/>
  <c r="AO13" i="5"/>
  <c r="AO47" i="5"/>
  <c r="AO121" i="5"/>
  <c r="AO107" i="5"/>
  <c r="AO93" i="5"/>
  <c r="AO79" i="5"/>
  <c r="AO97" i="5"/>
  <c r="AO88" i="5"/>
  <c r="AO151" i="5"/>
  <c r="AO123" i="5"/>
  <c r="AO109" i="5"/>
  <c r="AO95" i="5"/>
  <c r="AO113" i="5"/>
  <c r="AO36" i="5"/>
  <c r="AO120" i="5"/>
  <c r="AO39" i="5"/>
  <c r="AO10" i="5"/>
  <c r="AO153" i="5"/>
  <c r="AO141" i="5"/>
  <c r="AO127" i="5"/>
  <c r="AO84" i="5"/>
  <c r="C2" i="6" a="1"/>
  <c r="C2" i="6" s="1"/>
  <c r="AP169" i="5" l="1"/>
  <c r="AO164" i="5"/>
  <c r="AR2" i="5"/>
  <c r="B2" i="6" a="1"/>
  <c r="AO165" i="5"/>
  <c r="AO163" i="5"/>
  <c r="G39" i="6" l="1"/>
  <c r="G68" i="6"/>
  <c r="G72" i="6"/>
  <c r="G117" i="6"/>
  <c r="G11" i="6"/>
  <c r="G121" i="6"/>
  <c r="G105" i="6"/>
  <c r="G40" i="6"/>
  <c r="A68" i="6"/>
  <c r="A39" i="6"/>
  <c r="B2" i="6"/>
  <c r="G18" i="6" s="1"/>
  <c r="A5" i="6"/>
  <c r="G128" i="6"/>
  <c r="A96" i="6"/>
  <c r="A47" i="6"/>
  <c r="G125" i="6"/>
  <c r="A150" i="6"/>
  <c r="G90" i="6"/>
  <c r="G135" i="6"/>
  <c r="G82" i="6"/>
  <c r="A124" i="6" l="1"/>
  <c r="G150" i="6"/>
  <c r="G56" i="6"/>
  <c r="G130" i="6"/>
  <c r="G49" i="6"/>
  <c r="A22" i="6"/>
  <c r="G133" i="6"/>
  <c r="G33" i="6"/>
  <c r="G27" i="6"/>
  <c r="A67" i="6"/>
  <c r="G79" i="6"/>
  <c r="G154" i="6"/>
  <c r="G141" i="6"/>
  <c r="A89" i="6"/>
  <c r="A157" i="6"/>
  <c r="G7" i="6"/>
  <c r="G62" i="6"/>
  <c r="A82" i="6"/>
  <c r="A40" i="6"/>
  <c r="G97" i="6"/>
  <c r="A98" i="6"/>
  <c r="A76" i="6"/>
  <c r="G76" i="6"/>
  <c r="A36" i="6"/>
  <c r="A41" i="6"/>
  <c r="A25" i="6"/>
  <c r="G131" i="6"/>
  <c r="A8" i="6"/>
  <c r="G31" i="6"/>
  <c r="A19" i="6"/>
  <c r="A35" i="6"/>
  <c r="A153" i="6"/>
  <c r="G153" i="6"/>
  <c r="A72" i="6"/>
  <c r="G69" i="6"/>
  <c r="A151" i="6"/>
  <c r="G113" i="6"/>
  <c r="A27" i="6"/>
  <c r="A108" i="6"/>
  <c r="G43" i="6"/>
  <c r="A63" i="6"/>
  <c r="G108" i="6"/>
  <c r="G134" i="6"/>
  <c r="A101" i="6"/>
  <c r="A122" i="6"/>
  <c r="A142" i="6"/>
  <c r="A15" i="6"/>
  <c r="A90" i="6"/>
  <c r="A121" i="6"/>
  <c r="A20" i="6"/>
  <c r="G92" i="6"/>
  <c r="A44" i="6"/>
  <c r="A64" i="6"/>
  <c r="A21" i="6"/>
  <c r="A97" i="6"/>
  <c r="A140" i="6"/>
  <c r="A52" i="6"/>
  <c r="A2" i="6"/>
  <c r="G8" i="6"/>
  <c r="G22" i="6"/>
  <c r="A29" i="6"/>
  <c r="G122" i="6"/>
  <c r="A130" i="6"/>
  <c r="A59" i="6"/>
  <c r="G52" i="6"/>
  <c r="G78" i="6"/>
  <c r="G120" i="6"/>
  <c r="G32" i="6"/>
  <c r="A62" i="6"/>
  <c r="A49" i="6"/>
  <c r="A34" i="6"/>
  <c r="G14" i="6"/>
  <c r="G53" i="6"/>
  <c r="A158" i="6"/>
  <c r="G34" i="6"/>
  <c r="G73" i="6"/>
  <c r="A138" i="6"/>
  <c r="A58" i="6"/>
  <c r="A14" i="6"/>
  <c r="G132" i="6"/>
  <c r="A13" i="6"/>
  <c r="G156" i="6"/>
  <c r="A112" i="6"/>
  <c r="A45" i="6"/>
  <c r="A131" i="6"/>
  <c r="A152" i="6"/>
  <c r="A126" i="6"/>
  <c r="A77" i="6"/>
  <c r="A9" i="6"/>
  <c r="G2" i="6"/>
  <c r="G118" i="6"/>
  <c r="G50" i="6"/>
  <c r="G138" i="6"/>
  <c r="G110" i="6"/>
  <c r="A17" i="6"/>
  <c r="G98" i="6"/>
  <c r="G114" i="6"/>
  <c r="A73" i="6"/>
  <c r="A33" i="6"/>
  <c r="A134" i="6"/>
  <c r="G51" i="6"/>
  <c r="G89" i="6"/>
  <c r="A156" i="6"/>
  <c r="A26" i="6"/>
  <c r="G66" i="6"/>
  <c r="G60" i="6"/>
  <c r="G41" i="6"/>
  <c r="A123" i="6"/>
  <c r="G65" i="6"/>
  <c r="G4" i="6"/>
  <c r="A102" i="6"/>
  <c r="A160" i="6"/>
  <c r="G94" i="6"/>
  <c r="A60" i="6"/>
  <c r="G17" i="6"/>
  <c r="G88" i="6"/>
  <c r="G115" i="6"/>
  <c r="G91" i="6"/>
  <c r="G159" i="6"/>
  <c r="G95" i="6"/>
  <c r="G85" i="6"/>
  <c r="G87" i="6"/>
  <c r="A66" i="6"/>
  <c r="A118" i="6"/>
  <c r="G124" i="6"/>
  <c r="G140" i="6"/>
  <c r="G160" i="6"/>
  <c r="G143" i="6"/>
  <c r="A16" i="6"/>
  <c r="A139" i="6"/>
  <c r="A143" i="6"/>
  <c r="A87" i="6"/>
  <c r="A128" i="6"/>
  <c r="G149" i="6"/>
  <c r="G75" i="6"/>
  <c r="A91" i="6"/>
  <c r="G119" i="6"/>
  <c r="A99" i="6"/>
  <c r="A88" i="6"/>
  <c r="G35" i="6"/>
  <c r="A106" i="6"/>
  <c r="G23" i="6"/>
  <c r="A69" i="6"/>
  <c r="A100" i="6"/>
  <c r="G9" i="6"/>
  <c r="G142" i="6"/>
  <c r="G15" i="6"/>
  <c r="A6" i="6"/>
  <c r="A145" i="6"/>
  <c r="A54" i="6"/>
  <c r="G157" i="6"/>
  <c r="A94" i="6"/>
  <c r="A116" i="6"/>
  <c r="G58" i="6"/>
  <c r="A105" i="6"/>
  <c r="G104" i="6"/>
  <c r="A119" i="6"/>
  <c r="G42" i="6"/>
  <c r="G74" i="6"/>
  <c r="G116" i="6"/>
  <c r="G47" i="6"/>
  <c r="G102" i="6"/>
  <c r="A24" i="6"/>
  <c r="A117" i="6"/>
  <c r="A135" i="6"/>
  <c r="G80" i="6"/>
  <c r="G48" i="6"/>
  <c r="A37" i="6"/>
  <c r="G155" i="6"/>
  <c r="A155" i="6"/>
  <c r="G86" i="6"/>
  <c r="A162" i="6"/>
  <c r="G59" i="6"/>
  <c r="A78" i="6"/>
  <c r="G103" i="6"/>
  <c r="A120" i="6"/>
  <c r="A95" i="6"/>
  <c r="A28" i="6"/>
  <c r="A11" i="6"/>
  <c r="A48" i="6"/>
  <c r="G101" i="6"/>
  <c r="A31" i="6"/>
  <c r="G44" i="6"/>
  <c r="G146" i="6"/>
  <c r="G30" i="6"/>
  <c r="A75" i="6"/>
  <c r="A104" i="6"/>
  <c r="G83" i="6"/>
  <c r="G21" i="6"/>
  <c r="A12" i="6"/>
  <c r="G147" i="6"/>
  <c r="A103" i="6"/>
  <c r="G28" i="6"/>
  <c r="A42" i="6"/>
  <c r="G112" i="6"/>
  <c r="A71" i="6"/>
  <c r="A159" i="6"/>
  <c r="G36" i="6"/>
  <c r="A109" i="6"/>
  <c r="G158" i="6"/>
  <c r="A144" i="6"/>
  <c r="G70" i="6"/>
  <c r="G25" i="6"/>
  <c r="A50" i="6"/>
  <c r="G106" i="6"/>
  <c r="A86" i="6"/>
  <c r="G61" i="6"/>
  <c r="G12" i="6"/>
  <c r="G126" i="6"/>
  <c r="G77" i="6"/>
  <c r="G161" i="6"/>
  <c r="A79" i="6"/>
  <c r="A80" i="6"/>
  <c r="A74" i="6"/>
  <c r="A53" i="6"/>
  <c r="G111" i="6"/>
  <c r="G81" i="6"/>
  <c r="G57" i="6"/>
  <c r="A113" i="6"/>
  <c r="G19" i="6"/>
  <c r="G129" i="6"/>
  <c r="A18" i="6"/>
  <c r="A32" i="6"/>
  <c r="G100" i="6"/>
  <c r="A46" i="6"/>
  <c r="A137" i="6"/>
  <c r="A161" i="6"/>
  <c r="G144" i="6"/>
  <c r="G123" i="6"/>
  <c r="A107" i="6"/>
  <c r="G64" i="6"/>
  <c r="G3" i="6"/>
  <c r="A84" i="6"/>
  <c r="G6" i="6"/>
  <c r="G93" i="6"/>
  <c r="A129" i="6"/>
  <c r="A141" i="6"/>
  <c r="A43" i="6"/>
  <c r="A57" i="6"/>
  <c r="G96" i="6"/>
  <c r="A148" i="6"/>
  <c r="G63" i="6"/>
  <c r="A55" i="6"/>
  <c r="G20" i="6"/>
  <c r="G45" i="6"/>
  <c r="A65" i="6"/>
  <c r="A136" i="6"/>
  <c r="G46" i="6"/>
  <c r="G84" i="6"/>
  <c r="A3" i="6"/>
  <c r="G71" i="6"/>
  <c r="A111" i="6"/>
  <c r="A85" i="6"/>
  <c r="A92" i="6"/>
  <c r="A127" i="6"/>
  <c r="G139" i="6"/>
  <c r="A132" i="6"/>
  <c r="G127" i="6"/>
  <c r="G145" i="6"/>
  <c r="A70" i="6"/>
  <c r="G152" i="6"/>
  <c r="G109" i="6"/>
  <c r="A114" i="6"/>
  <c r="G99" i="6"/>
  <c r="G151" i="6"/>
  <c r="A115" i="6"/>
  <c r="G29" i="6"/>
  <c r="A7" i="6"/>
  <c r="G55" i="6"/>
  <c r="A149" i="6"/>
  <c r="G26" i="6"/>
  <c r="G67" i="6"/>
  <c r="A30" i="6"/>
  <c r="G16" i="6"/>
  <c r="G37" i="6"/>
  <c r="A83" i="6"/>
  <c r="A10" i="6"/>
  <c r="G136" i="6"/>
  <c r="A61" i="6"/>
  <c r="G107" i="6"/>
  <c r="G148" i="6"/>
  <c r="A146" i="6"/>
  <c r="A56" i="6"/>
  <c r="A133" i="6"/>
  <c r="G24" i="6"/>
  <c r="A147" i="6"/>
  <c r="A51" i="6"/>
  <c r="A125" i="6"/>
  <c r="A4" i="6"/>
  <c r="A110" i="6"/>
  <c r="A154" i="6"/>
  <c r="G137" i="6"/>
  <c r="A23" i="6"/>
  <c r="G162" i="6"/>
  <c r="G38" i="6"/>
  <c r="A93" i="6"/>
  <c r="G10" i="6"/>
  <c r="A81" i="6"/>
  <c r="G13" i="6"/>
  <c r="G54" i="6"/>
  <c r="A38" i="6"/>
  <c r="G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<sst xmlns="http://schemas.openxmlformats.org/spreadsheetml/2006/main" count="2162" uniqueCount="458">
  <si>
    <t>Manufacturer</t>
  </si>
  <si>
    <t>Model</t>
  </si>
  <si>
    <t>ABB</t>
  </si>
  <si>
    <t>Fanuc</t>
  </si>
  <si>
    <t>Kuka</t>
  </si>
  <si>
    <t>Universal Robots</t>
  </si>
  <si>
    <t>Yaskawa</t>
  </si>
  <si>
    <t>CLOOS</t>
  </si>
  <si>
    <t>Country</t>
  </si>
  <si>
    <t>Germany</t>
  </si>
  <si>
    <t>QINEO ArcBoT</t>
  </si>
  <si>
    <t>Welding</t>
  </si>
  <si>
    <t>https://expo.cloos.de/en/arcbot/</t>
  </si>
  <si>
    <t>Comau</t>
  </si>
  <si>
    <t>Aura</t>
  </si>
  <si>
    <t>Italy</t>
  </si>
  <si>
    <t>https://www.comau.com/en/our-offer/robotics-automation/collaborative-robotics/aura-collaborative-robot/</t>
  </si>
  <si>
    <t>Racer-5</t>
  </si>
  <si>
    <t>https://www.comau.com/en/our-offer/products-and-solutions/robot-team/racer-5-0-80-cobot/</t>
  </si>
  <si>
    <t>OTC Daihen</t>
  </si>
  <si>
    <t>FD-VC4</t>
  </si>
  <si>
    <t>Dürr</t>
  </si>
  <si>
    <t>ADAS</t>
  </si>
  <si>
    <t>https://www.durr.com/de/produkte/endmontage/prueftechnik/einstellung-fahrerassistenzsysteme/einstellung-fahrerassistenzsysteme-nutzfahrzeuge-1</t>
  </si>
  <si>
    <t>ESTUN</t>
  </si>
  <si>
    <t>S3-60 Eco</t>
  </si>
  <si>
    <t>S3-60 Pro</t>
  </si>
  <si>
    <t>China</t>
  </si>
  <si>
    <t>https://en.estun.com/?list_191/1788.html</t>
  </si>
  <si>
    <t>S5-90 Eco</t>
  </si>
  <si>
    <t>S5-90 Pro</t>
  </si>
  <si>
    <t>S10-140 Eco</t>
  </si>
  <si>
    <t>S10-140 Pro</t>
  </si>
  <si>
    <t>S20-180 Eco</t>
  </si>
  <si>
    <t>S20-180 Pro</t>
  </si>
  <si>
    <t>https://en.estun.com/?list_191/1795.html</t>
  </si>
  <si>
    <t>https://en.estun.com/?list_191/1794.html</t>
  </si>
  <si>
    <t>Co-Palletizer 20 (Fixed type)</t>
  </si>
  <si>
    <t>Co-Palletizer 20 (Lift Type)</t>
  </si>
  <si>
    <t>https://en.estun.com/?list_191/1796.html</t>
  </si>
  <si>
    <t>https://en.estun.com/?list_191/1789.html</t>
  </si>
  <si>
    <t>https://en.estun.com/?list_191/1797.html</t>
  </si>
  <si>
    <t>https://en.estun.com/?list_191/1790.html</t>
  </si>
  <si>
    <t>https://en.estun.com/?list_191/1798.html</t>
  </si>
  <si>
    <t>https://en.estun.com/?list_191/1791.html</t>
  </si>
  <si>
    <t>https://en.estun.com/?list_191/1799.html</t>
  </si>
  <si>
    <t>JAKA</t>
  </si>
  <si>
    <t>https://www.jakarobotics.com/de/jaka-zu</t>
  </si>
  <si>
    <t>https://www.jakarobotics.com/de/jaka-zu-s/</t>
  </si>
  <si>
    <t>https://www.jakarobotics.com/de/jaka-all-in-one/</t>
  </si>
  <si>
    <t>https://www.jakarobotics.com/de/jaka-pro/</t>
  </si>
  <si>
    <t>MiniCobo</t>
  </si>
  <si>
    <t>https://www.jakarobotics.com/de/jaka-minicobo/</t>
  </si>
  <si>
    <t>https://kawasakirobotics.com/products-robots/duaro1/</t>
  </si>
  <si>
    <t>Japan</t>
  </si>
  <si>
    <t>BX200L</t>
  </si>
  <si>
    <t>https://kawasakirobotics.com/products-robots/bx200l/</t>
  </si>
  <si>
    <t>NACHI Robotics</t>
  </si>
  <si>
    <t>CZ10</t>
  </si>
  <si>
    <t>https://www.nachirobotics.com/product/cz10/</t>
  </si>
  <si>
    <t>https://www.nachirobotics.com/product/cmz05f/</t>
  </si>
  <si>
    <t>CMZ05F</t>
  </si>
  <si>
    <t>https://www.nachirobotics.com/product/cmz12f/</t>
  </si>
  <si>
    <t>CMZ12F</t>
  </si>
  <si>
    <t>Neura Robotics</t>
  </si>
  <si>
    <t>https://neura-robotics.com/products/maira</t>
  </si>
  <si>
    <t>https://neura-robotics.com/products/lara</t>
  </si>
  <si>
    <t>https://neura-robotics.com/products/mipa</t>
  </si>
  <si>
    <t>MiPA</t>
  </si>
  <si>
    <t>https://neura-robotics.com/products/4ne-1</t>
  </si>
  <si>
    <t>4NE-1</t>
  </si>
  <si>
    <t>https://industrial.omron.de/de/products/tm-cobot</t>
  </si>
  <si>
    <t>https://industrial.omron.de/de/products/tm-s-cobot</t>
  </si>
  <si>
    <t>OMRON</t>
  </si>
  <si>
    <t>Stäubli</t>
  </si>
  <si>
    <t>https://new.abb.com/products/robotics/robots/collaborative-robots/crb-15000</t>
  </si>
  <si>
    <t>https://new.abb.com/products/robotics/robots/collaborative-robots/yumi/dual-arm</t>
  </si>
  <si>
    <t>https://new.abb.com/products/robotics/robots/collaborative-robots/yumi/single-arm</t>
  </si>
  <si>
    <t>https://www.fanuc.co.jp/en/product/robot/f_r_collabo.html</t>
  </si>
  <si>
    <t>https://www.kuka.com/en-be/products/robotics-systems/industrial-robots/lbr-iisy-cobot</t>
  </si>
  <si>
    <t>KMR iisy</t>
  </si>
  <si>
    <t>KMR iiwa</t>
  </si>
  <si>
    <t>LBR Med</t>
  </si>
  <si>
    <t>https://www.kuka.com/en-be/products/amr-autonomous-mobile-robotics/mobile-robot-systems/kmr-iisy-autonomous-mobile-cobot</t>
  </si>
  <si>
    <t>https://www.kuka.com/en-be/products/amr-autonomous-mobile-robotics/mobile-robot-systems/kmr-iiwa</t>
  </si>
  <si>
    <t>https://www.kuka.com/en-be/industries/robots-used-in-medicine/kuka-solutions-for-medical-robots/lbr-med-medical-robot</t>
  </si>
  <si>
    <t>https://www.kuka.com/en-de/products/robot-systems/industrial-robots/lbr-iiwa</t>
  </si>
  <si>
    <t>Denmark</t>
  </si>
  <si>
    <t>https://www.universal-robots.com/products/ur3e/</t>
  </si>
  <si>
    <t>UR3e</t>
  </si>
  <si>
    <t>https://www.universal-robots.com/products/ur5e/</t>
  </si>
  <si>
    <t>UR5e</t>
  </si>
  <si>
    <t>https://www.universal-robots.com/products/ur10e/</t>
  </si>
  <si>
    <t>UR10e</t>
  </si>
  <si>
    <t>https://www.universal-robots.com/products/ur16e/</t>
  </si>
  <si>
    <t>UR16e</t>
  </si>
  <si>
    <t>https://www.universal-robots.com/products/ur20/</t>
  </si>
  <si>
    <t>UR20</t>
  </si>
  <si>
    <t>https://www.universal-robots.com/products/ur30/</t>
  </si>
  <si>
    <t>UR30</t>
  </si>
  <si>
    <t>DoF</t>
  </si>
  <si>
    <t>GoFa CRB 15000 - 5kg</t>
  </si>
  <si>
    <t>GoFa CRB 15000 - 10kg</t>
  </si>
  <si>
    <t>GoFa CRB 15000 - 12kg</t>
  </si>
  <si>
    <t>165x165</t>
  </si>
  <si>
    <t>200x200</t>
  </si>
  <si>
    <t>Payload (kg)</t>
  </si>
  <si>
    <t>399x496</t>
  </si>
  <si>
    <t>FD-VC4L</t>
  </si>
  <si>
    <t>CRX-5iA</t>
  </si>
  <si>
    <t>CRX-10iA</t>
  </si>
  <si>
    <t>CRX-10iA/L</t>
  </si>
  <si>
    <t>CRX-20iA/L</t>
  </si>
  <si>
    <t>CRX-30iA</t>
  </si>
  <si>
    <t>Zu 5</t>
  </si>
  <si>
    <t>Zu 3</t>
  </si>
  <si>
    <t>Zu 7</t>
  </si>
  <si>
    <t>Zu 12</t>
  </si>
  <si>
    <t>Zu 18</t>
  </si>
  <si>
    <t>Zu 3s</t>
  </si>
  <si>
    <t>Zu 5s</t>
  </si>
  <si>
    <t>Zu 7s</t>
  </si>
  <si>
    <t>Zu 12s</t>
  </si>
  <si>
    <t>Zu 18s</t>
  </si>
  <si>
    <t>Ai 3</t>
  </si>
  <si>
    <t>Ai 5</t>
  </si>
  <si>
    <t>Ai 7</t>
  </si>
  <si>
    <t>Ai 18</t>
  </si>
  <si>
    <t>Ai 12</t>
  </si>
  <si>
    <t>Pro 5</t>
  </si>
  <si>
    <t>Pro 12</t>
  </si>
  <si>
    <t>Pro 16</t>
  </si>
  <si>
    <t>duAro1</t>
  </si>
  <si>
    <t>duAro2</t>
  </si>
  <si>
    <t>CL103N</t>
  </si>
  <si>
    <t>CL105N</t>
  </si>
  <si>
    <t>CL108N</t>
  </si>
  <si>
    <t>CL110N</t>
  </si>
  <si>
    <t>https://kawasakirobotics.com/products-robots/cl103n/</t>
  </si>
  <si>
    <t>LBR iisy 3 R760</t>
  </si>
  <si>
    <r>
      <t xml:space="preserve">Base area (mmxmm / </t>
    </r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scheme val="minor"/>
      </rPr>
      <t>)</t>
    </r>
  </si>
  <si>
    <t>LBR iisy 6 R1300</t>
  </si>
  <si>
    <t>LBR iisy 8 R930</t>
  </si>
  <si>
    <t>LBR iisy 11 R1300</t>
  </si>
  <si>
    <t>LBR iisy 15 R930</t>
  </si>
  <si>
    <t>275x275</t>
  </si>
  <si>
    <t>LBR iiwa 7 R800</t>
  </si>
  <si>
    <t>LBR iiwa 14 R820</t>
  </si>
  <si>
    <t>219x213</t>
  </si>
  <si>
    <t>191x191</t>
  </si>
  <si>
    <t>MAiRA S</t>
  </si>
  <si>
    <t>MAiRA M</t>
  </si>
  <si>
    <t>MAiRA L</t>
  </si>
  <si>
    <t>LARA 3</t>
  </si>
  <si>
    <t>LARA 5</t>
  </si>
  <si>
    <t>LARA 8</t>
  </si>
  <si>
    <t>LARA 10</t>
  </si>
  <si>
    <t>TM5S</t>
  </si>
  <si>
    <t>TM7S</t>
  </si>
  <si>
    <t>TM12S</t>
  </si>
  <si>
    <t>TM14S</t>
  </si>
  <si>
    <t>TM25S</t>
  </si>
  <si>
    <t>TM5-700</t>
  </si>
  <si>
    <t>TM5-900</t>
  </si>
  <si>
    <t>TM12</t>
  </si>
  <si>
    <t>TM14</t>
  </si>
  <si>
    <t>TM16</t>
  </si>
  <si>
    <t>TM20</t>
  </si>
  <si>
    <t>MOTOMAN-HC10DTP</t>
  </si>
  <si>
    <t>MOTOMAN-HC10DTFP</t>
  </si>
  <si>
    <t>MOTOMAN-HC20DTP</t>
  </si>
  <si>
    <t>MOTOMAN-HC20SDTP</t>
  </si>
  <si>
    <t>MOTOMAN-HC30PL</t>
  </si>
  <si>
    <t>https://www.yaskawa.eu.com/robotics/robots/collaborative/seriesdetail/serie/hc-series_493</t>
  </si>
  <si>
    <t>MOTOMAN-HC10DTP Classic</t>
  </si>
  <si>
    <t>195x195</t>
  </si>
  <si>
    <t>260x260</t>
  </si>
  <si>
    <t>240x240</t>
  </si>
  <si>
    <t>Maturity</t>
  </si>
  <si>
    <t>Info</t>
  </si>
  <si>
    <t>Cobot?</t>
  </si>
  <si>
    <t>Selection Criteria</t>
  </si>
  <si>
    <t>Sub-Criteria</t>
  </si>
  <si>
    <t>Weight</t>
  </si>
  <si>
    <t>General and Physical</t>
  </si>
  <si>
    <t>Cost</t>
  </si>
  <si>
    <t>Robot Type</t>
  </si>
  <si>
    <t>Life Expectancy</t>
  </si>
  <si>
    <t>Warranty Period</t>
  </si>
  <si>
    <t>Vendors Service</t>
  </si>
  <si>
    <t>Static Performance Characteristics</t>
  </si>
  <si>
    <t>Dynamic Performance Characteristics</t>
  </si>
  <si>
    <t>Robot Mass (kg)</t>
  </si>
  <si>
    <r>
      <t>Repeatability (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mm)</t>
    </r>
  </si>
  <si>
    <t>Load Capacity (kg)</t>
  </si>
  <si>
    <t>Memory Capacity</t>
  </si>
  <si>
    <t>Positioning Accuracy</t>
  </si>
  <si>
    <t>Degrees of Freedom</t>
  </si>
  <si>
    <t>Precision/Resolution</t>
  </si>
  <si>
    <t>Vertical Reach (mm)</t>
  </si>
  <si>
    <t>Horizontal Reach (mm)</t>
  </si>
  <si>
    <t>Speed of Travel (J1)</t>
  </si>
  <si>
    <t>Speed of Travel (J2)</t>
  </si>
  <si>
    <t>Speed of Travel (J3)</t>
  </si>
  <si>
    <t>Speed of Travel (J4)</t>
  </si>
  <si>
    <t>Speed of Travel (J5)</t>
  </si>
  <si>
    <t>Speed of Travel (J6)</t>
  </si>
  <si>
    <t>Robotic Architecture</t>
  </si>
  <si>
    <t>Number of Arms</t>
  </si>
  <si>
    <t>Arm Geometry</t>
  </si>
  <si>
    <t>Axis Motion Range (J1)</t>
  </si>
  <si>
    <t>Axis Motion Range (J2)</t>
  </si>
  <si>
    <t>Axis Motion Range (J3)</t>
  </si>
  <si>
    <t>Axis Motion Range (J4)</t>
  </si>
  <si>
    <t>Axis Motion Range (J5)</t>
  </si>
  <si>
    <t>Axis Motion Range (J6)</t>
  </si>
  <si>
    <t>Operating Environment</t>
  </si>
  <si>
    <t>Compliance</t>
  </si>
  <si>
    <t>Ambient Temperature</t>
  </si>
  <si>
    <t>Ambient Humidity</t>
  </si>
  <si>
    <t>Vibration</t>
  </si>
  <si>
    <t>Protection Level</t>
  </si>
  <si>
    <t>Safety Features</t>
  </si>
  <si>
    <t>Instrumentation and Control Systems</t>
  </si>
  <si>
    <t>Programming Methods</t>
  </si>
  <si>
    <t>Man-Machine-Interface</t>
  </si>
  <si>
    <t>Type of Drive</t>
  </si>
  <si>
    <t>Control System</t>
  </si>
  <si>
    <t>Path Control System</t>
  </si>
  <si>
    <t>Sensors</t>
  </si>
  <si>
    <t>Application</t>
  </si>
  <si>
    <t>Material Handling</t>
  </si>
  <si>
    <t>Assembly</t>
  </si>
  <si>
    <t>Dispensing</t>
  </si>
  <si>
    <t>Processing</t>
  </si>
  <si>
    <t>Service</t>
  </si>
  <si>
    <t>Other</t>
  </si>
  <si>
    <t>Degree of Anthropomorphism</t>
  </si>
  <si>
    <t>Search 1</t>
  </si>
  <si>
    <t>Y</t>
  </si>
  <si>
    <t>Search 2</t>
  </si>
  <si>
    <t>Reach (mm)</t>
  </si>
  <si>
    <t>out of scope</t>
  </si>
  <si>
    <t>Life Exp (h)</t>
  </si>
  <si>
    <t>Mass (kg)</t>
  </si>
  <si>
    <t>Arms</t>
  </si>
  <si>
    <t>MatHand</t>
  </si>
  <si>
    <t>Weld</t>
  </si>
  <si>
    <t>Disp</t>
  </si>
  <si>
    <t>Proc</t>
  </si>
  <si>
    <t>Serv</t>
  </si>
  <si>
    <t>OtherApp</t>
  </si>
  <si>
    <r>
      <t>Repeat (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>mm)</t>
    </r>
  </si>
  <si>
    <t>Add. Sens</t>
  </si>
  <si>
    <t>Price (EUR)</t>
  </si>
  <si>
    <t>YuMi IRB 14000</t>
  </si>
  <si>
    <t>YuMi IRB 14050</t>
  </si>
  <si>
    <t>N</t>
  </si>
  <si>
    <t>propr, mult</t>
  </si>
  <si>
    <t>SWIFTI CRB 1100-4/0.58</t>
  </si>
  <si>
    <t>SWIFTI CRB 1300-7/1.4</t>
  </si>
  <si>
    <t>SWIFTI CRB 1300-10/1.15</t>
  </si>
  <si>
    <t>SWIFTI CRB 1300-11/0.9</t>
  </si>
  <si>
    <t>Agile Robots</t>
  </si>
  <si>
    <t>Yu 5 Industiral</t>
  </si>
  <si>
    <t>AUBO Robotics</t>
  </si>
  <si>
    <t>USA</t>
  </si>
  <si>
    <t>AUBO i3</t>
  </si>
  <si>
    <t>AUBO i5</t>
  </si>
  <si>
    <t>AUBO i10</t>
  </si>
  <si>
    <t>AUBO i16</t>
  </si>
  <si>
    <t>AUBO i20</t>
  </si>
  <si>
    <t>Brooks Automation</t>
  </si>
  <si>
    <t>PreciseFlex DDR 4</t>
  </si>
  <si>
    <t>PreciseFlex DDR 6</t>
  </si>
  <si>
    <t>PreciseFlex 3400</t>
  </si>
  <si>
    <t>Delta Electronics</t>
  </si>
  <si>
    <t>Delta D-Bot DC06</t>
  </si>
  <si>
    <t>Delta D-Bot DC08</t>
  </si>
  <si>
    <t>Delta D-Bot DC10</t>
  </si>
  <si>
    <t>Delta D-Bot DC16</t>
  </si>
  <si>
    <t>Delta D-Bot DC20</t>
  </si>
  <si>
    <t>Delta D-Bot DC30</t>
  </si>
  <si>
    <t>Taiwan</t>
  </si>
  <si>
    <t>DENSO Robotocs</t>
  </si>
  <si>
    <t>COBOTTA</t>
  </si>
  <si>
    <t>COBOTTA PRO 1300</t>
  </si>
  <si>
    <t>Dobot</t>
  </si>
  <si>
    <t>CR5</t>
  </si>
  <si>
    <t>CR10</t>
  </si>
  <si>
    <t>Nova 2</t>
  </si>
  <si>
    <t>Nova 5</t>
  </si>
  <si>
    <t>Doosan Robotics</t>
  </si>
  <si>
    <t>A0509</t>
  </si>
  <si>
    <t>propr</t>
  </si>
  <si>
    <t>A0912</t>
  </si>
  <si>
    <t>M0609</t>
  </si>
  <si>
    <t>M1509</t>
  </si>
  <si>
    <t>H2017</t>
  </si>
  <si>
    <t>H2515</t>
  </si>
  <si>
    <t>DegAnthro</t>
  </si>
  <si>
    <t>Elite Robots</t>
  </si>
  <si>
    <t>EC63</t>
  </si>
  <si>
    <t>open</t>
  </si>
  <si>
    <t>propr, open, mult</t>
  </si>
  <si>
    <t>open, mult</t>
  </si>
  <si>
    <t>ProgScore</t>
  </si>
  <si>
    <t>ProgMethods</t>
  </si>
  <si>
    <t>Prog Methods</t>
  </si>
  <si>
    <t>EC616</t>
  </si>
  <si>
    <t>CS63</t>
  </si>
  <si>
    <t>CS625</t>
  </si>
  <si>
    <t>EC66</t>
  </si>
  <si>
    <t>EC68-08</t>
  </si>
  <si>
    <t>EC612</t>
  </si>
  <si>
    <t>EC64-19</t>
  </si>
  <si>
    <t>CS66</t>
  </si>
  <si>
    <t>CS612</t>
  </si>
  <si>
    <t>CS620</t>
  </si>
  <si>
    <t>CS68</t>
  </si>
  <si>
    <t>exclude</t>
  </si>
  <si>
    <t>Y/N</t>
  </si>
  <si>
    <t>CS616</t>
  </si>
  <si>
    <t>CS618</t>
  </si>
  <si>
    <t>F&amp;P Robotics</t>
  </si>
  <si>
    <t>P-Rob Eco</t>
  </si>
  <si>
    <t>Switzerland</t>
  </si>
  <si>
    <t>Rizon 4</t>
  </si>
  <si>
    <t>CRX-25iA</t>
  </si>
  <si>
    <t>Hanwha Robotics</t>
  </si>
  <si>
    <t>HCR-14</t>
  </si>
  <si>
    <t>South Korea</t>
  </si>
  <si>
    <t>Hyundai Robotics</t>
  </si>
  <si>
    <t>YL012</t>
  </si>
  <si>
    <t>YL005</t>
  </si>
  <si>
    <t>YL015</t>
  </si>
  <si>
    <t>Flexiv</t>
  </si>
  <si>
    <t>igus</t>
  </si>
  <si>
    <t>ReBeL-4DOF-02</t>
  </si>
  <si>
    <t>ReBeL-4DOF-OS</t>
  </si>
  <si>
    <t>ReBeL-6DOF-02</t>
  </si>
  <si>
    <t>ReBeL-6DOF-OS</t>
  </si>
  <si>
    <t>Lebai Robotics</t>
  </si>
  <si>
    <t>LM3</t>
  </si>
  <si>
    <t>ROKAE</t>
  </si>
  <si>
    <t>SR4</t>
  </si>
  <si>
    <t>Kassow Robots</t>
  </si>
  <si>
    <t>KR1410</t>
  </si>
  <si>
    <t>KR810</t>
  </si>
  <si>
    <t>KR1205</t>
  </si>
  <si>
    <t>KR1805</t>
  </si>
  <si>
    <t>KR1018</t>
  </si>
  <si>
    <t>Kawasaki Robotics</t>
  </si>
  <si>
    <t>Kinova Robotics</t>
  </si>
  <si>
    <t>Gen3 lite</t>
  </si>
  <si>
    <t>Canada</t>
  </si>
  <si>
    <t>MiR Mobile Industrial Robots</t>
  </si>
  <si>
    <t>MiR MC600</t>
  </si>
  <si>
    <t>Mitsubishi</t>
  </si>
  <si>
    <t>MELFA ASSISTA</t>
  </si>
  <si>
    <t>Rainbow Robotics</t>
  </si>
  <si>
    <t>RB3-730</t>
  </si>
  <si>
    <t>RB3-1200</t>
  </si>
  <si>
    <t>RB20-1900</t>
  </si>
  <si>
    <t>Schneider Electric GmbH</t>
  </si>
  <si>
    <t>Lexium Cobot - 3</t>
  </si>
  <si>
    <t>Lexium Cobot - 5</t>
  </si>
  <si>
    <t>Lexium Cobot - 7</t>
  </si>
  <si>
    <t>Lexium Cobot - 12</t>
  </si>
  <si>
    <t>Lexium Cobot - 18</t>
  </si>
  <si>
    <t>Shenzhen Han's Robot Co.</t>
  </si>
  <si>
    <t>Elfin E05</t>
  </si>
  <si>
    <t>TX2touch-60</t>
  </si>
  <si>
    <t>TX2touch-90</t>
  </si>
  <si>
    <t>Techman Robot</t>
  </si>
  <si>
    <t>TM30S</t>
  </si>
  <si>
    <t>UFACTORY</t>
  </si>
  <si>
    <t>xArm 5</t>
  </si>
  <si>
    <t>Sum</t>
  </si>
  <si>
    <t>Dupes</t>
  </si>
  <si>
    <t>Total</t>
  </si>
  <si>
    <t>Subtotal</t>
  </si>
  <si>
    <t>Exclude</t>
  </si>
  <si>
    <t>Mass</t>
  </si>
  <si>
    <t>Repeat</t>
  </si>
  <si>
    <t>Payload</t>
  </si>
  <si>
    <t>Reach</t>
  </si>
  <si>
    <t>Score</t>
  </si>
  <si>
    <t>Rank</t>
  </si>
  <si>
    <t>Mean</t>
  </si>
  <si>
    <t>Mode</t>
  </si>
  <si>
    <t>Median</t>
  </si>
  <si>
    <t>Min</t>
  </si>
  <si>
    <t>Max</t>
  </si>
  <si>
    <t>Industry</t>
  </si>
  <si>
    <t>Metall- und Maschinenbau</t>
  </si>
  <si>
    <t>Plastik- und Chemieindustrie</t>
  </si>
  <si>
    <t>Automobilindustrie</t>
  </si>
  <si>
    <t>Elektronikindustrie</t>
  </si>
  <si>
    <t>Lebensmittelindustrie</t>
  </si>
  <si>
    <t>Sonstige</t>
  </si>
  <si>
    <t>unbestimmt</t>
  </si>
  <si>
    <t>Percent</t>
  </si>
  <si>
    <t>Criteria</t>
  </si>
  <si>
    <t>MAX</t>
  </si>
  <si>
    <t>VAL*W</t>
  </si>
  <si>
    <t>(MAX-VAL)*W</t>
  </si>
  <si>
    <t>VAL*W (VAL=1 if any add. sensors)</t>
  </si>
  <si>
    <t>VAL*W (VAL=1 if applicable)</t>
  </si>
  <si>
    <t>VAL*W (VAL=1 if prop;2 if open; +1 if mult)</t>
  </si>
  <si>
    <t>Example</t>
  </si>
  <si>
    <t>Scoring-Formula</t>
  </si>
  <si>
    <t>Include</t>
  </si>
  <si>
    <t>Sensor</t>
  </si>
  <si>
    <t>Prog</t>
  </si>
  <si>
    <t>Hand</t>
  </si>
  <si>
    <t>Assem</t>
  </si>
  <si>
    <t>Anthro</t>
  </si>
  <si>
    <t>Bad Val</t>
  </si>
  <si>
    <t>Good Val</t>
  </si>
  <si>
    <t>Bad Score</t>
  </si>
  <si>
    <t>Good Score</t>
  </si>
  <si>
    <t>Mid</t>
  </si>
  <si>
    <t>Models</t>
  </si>
  <si>
    <t>Merge</t>
  </si>
  <si>
    <t>Other Application</t>
  </si>
  <si>
    <t>Difference</t>
  </si>
  <si>
    <t>Application of Cobots</t>
  </si>
  <si>
    <t>Percentage</t>
  </si>
  <si>
    <t>Criterion</t>
  </si>
  <si>
    <t>Statistical Values of quantitative Criteria</t>
  </si>
  <si>
    <t>Cost (EUR)</t>
  </si>
  <si>
    <t>Repeat (mm)</t>
  </si>
  <si>
    <t>Count</t>
  </si>
  <si>
    <t>Scatterplot of Cost and Score (cost excluded)</t>
  </si>
  <si>
    <t>Score (cost excl)</t>
  </si>
  <si>
    <t>Corr-Coeff (Cost)</t>
  </si>
  <si>
    <t>VAL = value for each cobot</t>
  </si>
  <si>
    <t>W = weight</t>
  </si>
  <si>
    <t>Ranking changes depending on excluded criteria in Scores-sheet</t>
  </si>
  <si>
    <r>
      <t>Scatterplot of Cost and Score (</t>
    </r>
    <r>
      <rPr>
        <sz val="11"/>
        <color rgb="FFFF0000"/>
        <rFont val="Calibri"/>
        <family val="2"/>
        <scheme val="minor"/>
      </rPr>
      <t>changes according to criteria selection in Scores-Sheet</t>
    </r>
    <r>
      <rPr>
        <sz val="11"/>
        <color theme="1"/>
        <rFont val="Calibri"/>
        <family val="2"/>
        <scheme val="minor"/>
      </rPr>
      <t>)</t>
    </r>
  </si>
  <si>
    <t>poor data availability</t>
  </si>
  <si>
    <t>merged in "Reach (mm)"</t>
  </si>
  <si>
    <t>only Cobots (according to inclusion-criteria) will be considered</t>
  </si>
  <si>
    <t>VAL*W (VAL in range [0-2])</t>
  </si>
  <si>
    <t>Cobots must have built-in safety features; partly represented in "Sensors"</t>
  </si>
  <si>
    <t>Reason for exclusion</t>
  </si>
  <si>
    <t>Industrial Robot Installations (IFR)</t>
  </si>
  <si>
    <t>Min -1</t>
  </si>
  <si>
    <t>Max -1</t>
  </si>
  <si>
    <t>Sorted Country Distribution</t>
  </si>
  <si>
    <t>Country Distribution</t>
  </si>
  <si>
    <t>Europe</t>
  </si>
  <si>
    <t>Asia</t>
  </si>
  <si>
    <t>North America</t>
  </si>
  <si>
    <t>Reliability</t>
  </si>
  <si>
    <t>By Continent</t>
  </si>
  <si>
    <r>
      <t>Histogramm of distribution in bins of size 5 (</t>
    </r>
    <r>
      <rPr>
        <sz val="11"/>
        <color rgb="FFFF0000"/>
        <rFont val="Calibri"/>
        <family val="2"/>
        <scheme val="minor"/>
      </rPr>
      <t>changes according to criteria selection in Scores-Sheet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</si>
</sst>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\ &quot;kg&quot;"/>
    <numFmt numFmtId="165" formatCode="0.00\ &quot;mm&quot;"/>
    <numFmt numFmtId="166" formatCode="0.0"/>
    <numFmt numFmtId="167" formatCode="0.0000"/>
    <numFmt numFmtId="168" formatCode="_-* #,##0\ [$€-407]_-;\-* #,##0\ [$€-407]_-;_-* &quot;-&quot;??\ [$€-407]_-;_-@_-"/>
    <numFmt numFmtId="169" formatCode="0.0%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.35"/>
      <color theme="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right"/>
    </xf>
    <xf numFmtId="0" fontId="1" fillId="0" borderId="0" xfId="1" applyBorder="1" applyAlignment="1"/>
    <xf numFmtId="0" fontId="1" fillId="0" borderId="0" xfId="1" applyFill="1" applyBorder="1" applyAlignment="1"/>
    <xf numFmtId="0" fontId="0" fillId="0" borderId="5" xfId="0" applyBorder="1" applyAlignment="1">
      <alignment horizontal="right"/>
    </xf>
    <xf numFmtId="0" fontId="0" fillId="0" borderId="8" xfId="0" applyBorder="1"/>
    <xf numFmtId="0" fontId="0" fillId="0" borderId="7" xfId="0" applyBorder="1"/>
    <xf numFmtId="166" fontId="0" fillId="0" borderId="3" xfId="0" applyNumberFormat="1" applyBorder="1" applyAlignment="1">
      <alignment horizontal="center"/>
    </xf>
    <xf numFmtId="166" fontId="0" fillId="0" borderId="2" xfId="0" applyNumberFormat="1" applyBorder="1"/>
    <xf numFmtId="166" fontId="0" fillId="0" borderId="0" xfId="0" applyNumberFormat="1"/>
    <xf numFmtId="166" fontId="0" fillId="0" borderId="1" xfId="0" applyNumberFormat="1" applyBorder="1" applyAlignment="1">
      <alignment horizontal="center"/>
    </xf>
    <xf numFmtId="166" fontId="0" fillId="0" borderId="5" xfId="0" applyNumberFormat="1" applyBorder="1"/>
    <xf numFmtId="166" fontId="0" fillId="0" borderId="4" xfId="0" applyNumberFormat="1" applyBorder="1"/>
    <xf numFmtId="2" fontId="0" fillId="0" borderId="2" xfId="0" applyNumberFormat="1" applyBorder="1"/>
    <xf numFmtId="2" fontId="0" fillId="0" borderId="0" xfId="0" applyNumberFormat="1"/>
    <xf numFmtId="2" fontId="0" fillId="0" borderId="0" xfId="2" applyNumberFormat="1" applyFont="1" applyBorder="1"/>
    <xf numFmtId="0" fontId="0" fillId="0" borderId="10" xfId="0" applyBorder="1"/>
    <xf numFmtId="0" fontId="0" fillId="0" borderId="9" xfId="0" applyBorder="1"/>
    <xf numFmtId="164" fontId="0" fillId="0" borderId="0" xfId="0" applyNumberFormat="1"/>
    <xf numFmtId="165" fontId="0" fillId="0" borderId="0" xfId="2" applyNumberFormat="1" applyFont="1" applyBorder="1"/>
    <xf numFmtId="0" fontId="6" fillId="4" borderId="0" xfId="0" applyFont="1" applyFill="1"/>
    <xf numFmtId="0" fontId="6" fillId="4" borderId="1" xfId="0" applyFont="1" applyFill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2" fontId="0" fillId="0" borderId="0" xfId="2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166" fontId="0" fillId="0" borderId="2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2" xfId="0" applyNumberFormat="1" applyBorder="1"/>
    <xf numFmtId="167" fontId="0" fillId="0" borderId="2" xfId="0" applyNumberFormat="1" applyBorder="1"/>
    <xf numFmtId="166" fontId="0" fillId="0" borderId="0" xfId="0" applyNumberFormat="1" applyAlignment="1">
      <alignment horizontal="right"/>
    </xf>
    <xf numFmtId="1" fontId="0" fillId="0" borderId="2" xfId="2" applyNumberFormat="1" applyFont="1" applyBorder="1" applyAlignment="1">
      <alignment horizontal="right"/>
    </xf>
    <xf numFmtId="2" fontId="0" fillId="0" borderId="2" xfId="2" applyNumberFormat="1" applyFont="1" applyBorder="1"/>
    <xf numFmtId="2" fontId="0" fillId="0" borderId="1" xfId="0" applyNumberFormat="1" applyBorder="1"/>
    <xf numFmtId="168" fontId="0" fillId="0" borderId="0" xfId="0" applyNumberFormat="1"/>
    <xf numFmtId="168" fontId="0" fillId="0" borderId="11" xfId="0" applyNumberFormat="1" applyBorder="1"/>
    <xf numFmtId="0" fontId="0" fillId="0" borderId="12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169" fontId="0" fillId="0" borderId="0" xfId="3" applyNumberFormat="1" applyFont="1"/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right"/>
    </xf>
    <xf numFmtId="0" fontId="0" fillId="3" borderId="13" xfId="0" applyFill="1" applyBorder="1"/>
    <xf numFmtId="169" fontId="0" fillId="0" borderId="0" xfId="0" applyNumberForma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8">
    <dxf>
      <font>
        <strike val="0"/>
      </font>
      <fill>
        <patternFill>
          <bgColor rgb="FFFDADAD"/>
        </patternFill>
      </fill>
    </dxf>
    <dxf>
      <font>
        <strike val="0"/>
      </font>
      <fill>
        <patternFill patternType="solid">
          <bgColor rgb="FFFDADAD"/>
        </patternFill>
      </fill>
    </dxf>
    <dxf>
      <font>
        <strike val="0"/>
      </font>
      <fill>
        <patternFill>
          <bgColor rgb="FFED8787"/>
        </patternFill>
      </fill>
    </dxf>
    <dxf>
      <font>
        <strike val="0"/>
      </font>
      <fill>
        <patternFill>
          <bgColor rgb="FFED8787"/>
        </patternFill>
      </fill>
    </dxf>
    <dxf>
      <font>
        <strike val="0"/>
      </font>
      <fill>
        <patternFill>
          <bgColor rgb="FFED8787"/>
        </patternFill>
      </fill>
    </dxf>
    <dxf>
      <fill>
        <patternFill>
          <fgColor rgb="FFED8787"/>
          <bgColor rgb="FFFE5C5C"/>
        </patternFill>
      </fill>
    </dxf>
    <dxf>
      <font>
        <strike val="0"/>
      </font>
      <fill>
        <patternFill>
          <bgColor rgb="FFED8787"/>
        </patternFill>
      </fill>
    </dxf>
    <dxf>
      <fill>
        <patternFill>
          <fgColor rgb="FFED8787"/>
          <bgColor rgb="FFFE5C5C"/>
        </patternFill>
      </fill>
    </dxf>
  </dxfs>
  <tableStyles count="0" defaultTableStyle="TableStyleMedium2" defaultPivotStyle="PivotStyleLight16"/>
  <colors>
    <mruColors>
      <color rgb="FFFDADAD"/>
      <color rgb="FF219EBC"/>
      <color rgb="FF023047"/>
      <color rgb="FFFB8500"/>
      <color rgb="FFED8787"/>
      <color rgb="FFFE5C5C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Scores!$D$2:$D$162</c:f>
              <c:numCache>
                <c:formatCode>General</c:formatCode>
                <c:ptCount val="161"/>
                <c:pt idx="0">
                  <c:v>30000</c:v>
                </c:pt>
                <c:pt idx="1">
                  <c:v>37500</c:v>
                </c:pt>
                <c:pt idx="2">
                  <c:v>37500</c:v>
                </c:pt>
                <c:pt idx="3">
                  <c:v>31000</c:v>
                </c:pt>
                <c:pt idx="4">
                  <c:v>51000</c:v>
                </c:pt>
                <c:pt idx="5">
                  <c:v>29300</c:v>
                </c:pt>
                <c:pt idx="6">
                  <c:v>34500</c:v>
                </c:pt>
                <c:pt idx="7">
                  <c:v>34500</c:v>
                </c:pt>
                <c:pt idx="8">
                  <c:v>34500</c:v>
                </c:pt>
                <c:pt idx="9">
                  <c:v>27000</c:v>
                </c:pt>
                <c:pt idx="10">
                  <c:v>18000</c:v>
                </c:pt>
                <c:pt idx="11">
                  <c:v>18000</c:v>
                </c:pt>
                <c:pt idx="12">
                  <c:v>20000</c:v>
                </c:pt>
                <c:pt idx="13">
                  <c:v>21000</c:v>
                </c:pt>
                <c:pt idx="14">
                  <c:v>30000</c:v>
                </c:pt>
                <c:pt idx="20">
                  <c:v>26900</c:v>
                </c:pt>
                <c:pt idx="21">
                  <c:v>31900</c:v>
                </c:pt>
                <c:pt idx="22">
                  <c:v>33900</c:v>
                </c:pt>
                <c:pt idx="23">
                  <c:v>38900</c:v>
                </c:pt>
                <c:pt idx="24">
                  <c:v>47900</c:v>
                </c:pt>
                <c:pt idx="25">
                  <c:v>52900</c:v>
                </c:pt>
                <c:pt idx="26">
                  <c:v>14800</c:v>
                </c:pt>
                <c:pt idx="28">
                  <c:v>15390</c:v>
                </c:pt>
                <c:pt idx="29">
                  <c:v>21540</c:v>
                </c:pt>
                <c:pt idx="30">
                  <c:v>8920</c:v>
                </c:pt>
                <c:pt idx="31">
                  <c:v>9540</c:v>
                </c:pt>
                <c:pt idx="32">
                  <c:v>22500</c:v>
                </c:pt>
                <c:pt idx="33">
                  <c:v>27500</c:v>
                </c:pt>
                <c:pt idx="34">
                  <c:v>29500</c:v>
                </c:pt>
                <c:pt idx="35">
                  <c:v>37500</c:v>
                </c:pt>
                <c:pt idx="36">
                  <c:v>44000</c:v>
                </c:pt>
                <c:pt idx="37">
                  <c:v>50500</c:v>
                </c:pt>
                <c:pt idx="38">
                  <c:v>14280</c:v>
                </c:pt>
                <c:pt idx="39">
                  <c:v>25800</c:v>
                </c:pt>
                <c:pt idx="40">
                  <c:v>16840</c:v>
                </c:pt>
                <c:pt idx="41">
                  <c:v>34400</c:v>
                </c:pt>
                <c:pt idx="42">
                  <c:v>16875</c:v>
                </c:pt>
                <c:pt idx="43">
                  <c:v>18575</c:v>
                </c:pt>
                <c:pt idx="44">
                  <c:v>23205</c:v>
                </c:pt>
                <c:pt idx="45">
                  <c:v>20700</c:v>
                </c:pt>
                <c:pt idx="46">
                  <c:v>19160</c:v>
                </c:pt>
                <c:pt idx="47">
                  <c:v>28130</c:v>
                </c:pt>
                <c:pt idx="48">
                  <c:v>30720</c:v>
                </c:pt>
                <c:pt idx="57">
                  <c:v>26590</c:v>
                </c:pt>
                <c:pt idx="58">
                  <c:v>32000</c:v>
                </c:pt>
                <c:pt idx="59">
                  <c:v>37000</c:v>
                </c:pt>
                <c:pt idx="60">
                  <c:v>38500</c:v>
                </c:pt>
                <c:pt idx="61">
                  <c:v>45000</c:v>
                </c:pt>
                <c:pt idx="62">
                  <c:v>52000</c:v>
                </c:pt>
                <c:pt idx="69">
                  <c:v>4250</c:v>
                </c:pt>
                <c:pt idx="70">
                  <c:v>2900</c:v>
                </c:pt>
                <c:pt idx="71">
                  <c:v>4970</c:v>
                </c:pt>
                <c:pt idx="72">
                  <c:v>4200</c:v>
                </c:pt>
                <c:pt idx="73">
                  <c:v>16500</c:v>
                </c:pt>
                <c:pt idx="74">
                  <c:v>19000</c:v>
                </c:pt>
                <c:pt idx="75">
                  <c:v>19000</c:v>
                </c:pt>
                <c:pt idx="76">
                  <c:v>23500</c:v>
                </c:pt>
                <c:pt idx="77">
                  <c:v>24500</c:v>
                </c:pt>
                <c:pt idx="78">
                  <c:v>22330</c:v>
                </c:pt>
                <c:pt idx="79">
                  <c:v>25310</c:v>
                </c:pt>
                <c:pt idx="80">
                  <c:v>25310</c:v>
                </c:pt>
                <c:pt idx="81">
                  <c:v>30300</c:v>
                </c:pt>
                <c:pt idx="82">
                  <c:v>31310</c:v>
                </c:pt>
                <c:pt idx="83">
                  <c:v>18430</c:v>
                </c:pt>
                <c:pt idx="84">
                  <c:v>20940</c:v>
                </c:pt>
                <c:pt idx="85">
                  <c:v>20940</c:v>
                </c:pt>
                <c:pt idx="86">
                  <c:v>25440</c:v>
                </c:pt>
                <c:pt idx="87">
                  <c:v>26450</c:v>
                </c:pt>
                <c:pt idx="88">
                  <c:v>20450</c:v>
                </c:pt>
                <c:pt idx="89">
                  <c:v>23560</c:v>
                </c:pt>
                <c:pt idx="90">
                  <c:v>26710</c:v>
                </c:pt>
                <c:pt idx="91">
                  <c:v>6500</c:v>
                </c:pt>
                <c:pt idx="92">
                  <c:v>37500</c:v>
                </c:pt>
                <c:pt idx="93">
                  <c:v>29100</c:v>
                </c:pt>
                <c:pt idx="94">
                  <c:v>31500</c:v>
                </c:pt>
                <c:pt idx="95">
                  <c:v>41500</c:v>
                </c:pt>
                <c:pt idx="96">
                  <c:v>37500</c:v>
                </c:pt>
                <c:pt idx="104">
                  <c:v>23445</c:v>
                </c:pt>
                <c:pt idx="105">
                  <c:v>28085</c:v>
                </c:pt>
                <c:pt idx="106">
                  <c:v>28795</c:v>
                </c:pt>
                <c:pt idx="107">
                  <c:v>29705</c:v>
                </c:pt>
                <c:pt idx="108">
                  <c:v>30915</c:v>
                </c:pt>
                <c:pt idx="111">
                  <c:v>9970</c:v>
                </c:pt>
                <c:pt idx="112">
                  <c:v>31000</c:v>
                </c:pt>
                <c:pt idx="114">
                  <c:v>36000</c:v>
                </c:pt>
                <c:pt idx="116">
                  <c:v>37500</c:v>
                </c:pt>
                <c:pt idx="117">
                  <c:v>39500</c:v>
                </c:pt>
                <c:pt idx="118">
                  <c:v>41500</c:v>
                </c:pt>
                <c:pt idx="119">
                  <c:v>16500</c:v>
                </c:pt>
                <c:pt idx="120">
                  <c:v>18900</c:v>
                </c:pt>
                <c:pt idx="121">
                  <c:v>21900</c:v>
                </c:pt>
                <c:pt idx="122">
                  <c:v>22500</c:v>
                </c:pt>
                <c:pt idx="125">
                  <c:v>30320</c:v>
                </c:pt>
                <c:pt idx="126">
                  <c:v>30320</c:v>
                </c:pt>
                <c:pt idx="127">
                  <c:v>41680</c:v>
                </c:pt>
                <c:pt idx="128">
                  <c:v>44210</c:v>
                </c:pt>
                <c:pt idx="129">
                  <c:v>48050</c:v>
                </c:pt>
                <c:pt idx="130">
                  <c:v>50650</c:v>
                </c:pt>
                <c:pt idx="138">
                  <c:v>20000</c:v>
                </c:pt>
                <c:pt idx="139">
                  <c:v>23500</c:v>
                </c:pt>
                <c:pt idx="140">
                  <c:v>44500</c:v>
                </c:pt>
                <c:pt idx="141">
                  <c:v>13990</c:v>
                </c:pt>
                <c:pt idx="142">
                  <c:v>22900</c:v>
                </c:pt>
                <c:pt idx="143">
                  <c:v>24500</c:v>
                </c:pt>
                <c:pt idx="144">
                  <c:v>27200</c:v>
                </c:pt>
                <c:pt idx="145">
                  <c:v>31500</c:v>
                </c:pt>
                <c:pt idx="146">
                  <c:v>36900</c:v>
                </c:pt>
                <c:pt idx="149">
                  <c:v>4900</c:v>
                </c:pt>
                <c:pt idx="150">
                  <c:v>27022</c:v>
                </c:pt>
                <c:pt idx="151">
                  <c:v>30619</c:v>
                </c:pt>
                <c:pt idx="152">
                  <c:v>39707</c:v>
                </c:pt>
                <c:pt idx="153">
                  <c:v>43495</c:v>
                </c:pt>
                <c:pt idx="154">
                  <c:v>54333</c:v>
                </c:pt>
                <c:pt idx="155">
                  <c:v>51495</c:v>
                </c:pt>
                <c:pt idx="156">
                  <c:v>38120</c:v>
                </c:pt>
                <c:pt idx="158">
                  <c:v>52220</c:v>
                </c:pt>
              </c:numCache>
            </c:numRef>
          </c:xVal>
          <c:yVal>
            <c:numRef>
              <c:f>Scores!$AO$2:$AO$162</c:f>
              <c:numCache>
                <c:formatCode>0.0</c:formatCode>
                <c:ptCount val="161"/>
                <c:pt idx="0">
                  <c:v>24.3</c:v>
                </c:pt>
                <c:pt idx="1">
                  <c:v>24.6</c:v>
                </c:pt>
                <c:pt idx="2">
                  <c:v>25.7</c:v>
                </c:pt>
                <c:pt idx="3">
                  <c:v>22.2</c:v>
                </c:pt>
                <c:pt idx="4">
                  <c:v>19.399999999999999</c:v>
                </c:pt>
                <c:pt idx="5">
                  <c:v>24.5</c:v>
                </c:pt>
                <c:pt idx="6">
                  <c:v>21.8</c:v>
                </c:pt>
                <c:pt idx="7">
                  <c:v>24.4</c:v>
                </c:pt>
                <c:pt idx="8">
                  <c:v>23.7</c:v>
                </c:pt>
                <c:pt idx="9">
                  <c:v>27.5</c:v>
                </c:pt>
                <c:pt idx="10">
                  <c:v>27.3</c:v>
                </c:pt>
                <c:pt idx="11">
                  <c:v>28.3</c:v>
                </c:pt>
                <c:pt idx="12">
                  <c:v>29</c:v>
                </c:pt>
                <c:pt idx="13">
                  <c:v>28.8</c:v>
                </c:pt>
                <c:pt idx="14">
                  <c:v>29.6</c:v>
                </c:pt>
                <c:pt idx="15">
                  <c:v>24.8</c:v>
                </c:pt>
                <c:pt idx="16">
                  <c:v>25.4</c:v>
                </c:pt>
                <c:pt idx="17">
                  <c:v>19.5</c:v>
                </c:pt>
                <c:pt idx="18">
                  <c:v>-7.3</c:v>
                </c:pt>
                <c:pt idx="19">
                  <c:v>19.7</c:v>
                </c:pt>
                <c:pt idx="20">
                  <c:v>26.6</c:v>
                </c:pt>
                <c:pt idx="21">
                  <c:v>27.3</c:v>
                </c:pt>
                <c:pt idx="22">
                  <c:v>27.2</c:v>
                </c:pt>
                <c:pt idx="23">
                  <c:v>27.8</c:v>
                </c:pt>
                <c:pt idx="24">
                  <c:v>26.8</c:v>
                </c:pt>
                <c:pt idx="25">
                  <c:v>26.6</c:v>
                </c:pt>
                <c:pt idx="26">
                  <c:v>24.8</c:v>
                </c:pt>
                <c:pt idx="27">
                  <c:v>25</c:v>
                </c:pt>
                <c:pt idx="28">
                  <c:v>28.6</c:v>
                </c:pt>
                <c:pt idx="29">
                  <c:v>29.4</c:v>
                </c:pt>
                <c:pt idx="30">
                  <c:v>24.5</c:v>
                </c:pt>
                <c:pt idx="31">
                  <c:v>25.7</c:v>
                </c:pt>
                <c:pt idx="32">
                  <c:v>25.2</c:v>
                </c:pt>
                <c:pt idx="33">
                  <c:v>25.7</c:v>
                </c:pt>
                <c:pt idx="34">
                  <c:v>24.9</c:v>
                </c:pt>
                <c:pt idx="35">
                  <c:v>25.4</c:v>
                </c:pt>
                <c:pt idx="36">
                  <c:v>25.5</c:v>
                </c:pt>
                <c:pt idx="37">
                  <c:v>25.1</c:v>
                </c:pt>
                <c:pt idx="38">
                  <c:v>28.5</c:v>
                </c:pt>
                <c:pt idx="39">
                  <c:v>29.7</c:v>
                </c:pt>
                <c:pt idx="40">
                  <c:v>26.1</c:v>
                </c:pt>
                <c:pt idx="41">
                  <c:v>28.2</c:v>
                </c:pt>
                <c:pt idx="42">
                  <c:v>29.4</c:v>
                </c:pt>
                <c:pt idx="43">
                  <c:v>29.2</c:v>
                </c:pt>
                <c:pt idx="44">
                  <c:v>30</c:v>
                </c:pt>
                <c:pt idx="45">
                  <c:v>26.2</c:v>
                </c:pt>
                <c:pt idx="46">
                  <c:v>26.5</c:v>
                </c:pt>
                <c:pt idx="47">
                  <c:v>28.7</c:v>
                </c:pt>
                <c:pt idx="48">
                  <c:v>29</c:v>
                </c:pt>
                <c:pt idx="49">
                  <c:v>16.399999999999999</c:v>
                </c:pt>
                <c:pt idx="50">
                  <c:v>17.399999999999999</c:v>
                </c:pt>
                <c:pt idx="51">
                  <c:v>17.600000000000001</c:v>
                </c:pt>
                <c:pt idx="52">
                  <c:v>18.600000000000001</c:v>
                </c:pt>
                <c:pt idx="53">
                  <c:v>19.600000000000001</c:v>
                </c:pt>
                <c:pt idx="54">
                  <c:v>20.6</c:v>
                </c:pt>
                <c:pt idx="55">
                  <c:v>20.6</c:v>
                </c:pt>
                <c:pt idx="56">
                  <c:v>21.6</c:v>
                </c:pt>
                <c:pt idx="57">
                  <c:v>23.5</c:v>
                </c:pt>
                <c:pt idx="58">
                  <c:v>25.1</c:v>
                </c:pt>
                <c:pt idx="59">
                  <c:v>28</c:v>
                </c:pt>
                <c:pt idx="60">
                  <c:v>28.4</c:v>
                </c:pt>
                <c:pt idx="61">
                  <c:v>29.5</c:v>
                </c:pt>
                <c:pt idx="62">
                  <c:v>28.1</c:v>
                </c:pt>
                <c:pt idx="63">
                  <c:v>28</c:v>
                </c:pt>
                <c:pt idx="64">
                  <c:v>17.399999999999999</c:v>
                </c:pt>
                <c:pt idx="65">
                  <c:v>23.6</c:v>
                </c:pt>
                <c:pt idx="66">
                  <c:v>24.2</c:v>
                </c:pt>
                <c:pt idx="67">
                  <c:v>23.8</c:v>
                </c:pt>
                <c:pt idx="68">
                  <c:v>25.3</c:v>
                </c:pt>
                <c:pt idx="69">
                  <c:v>5.0999999999999996</c:v>
                </c:pt>
                <c:pt idx="70">
                  <c:v>7.3</c:v>
                </c:pt>
                <c:pt idx="71">
                  <c:v>6.3</c:v>
                </c:pt>
                <c:pt idx="72">
                  <c:v>8.4</c:v>
                </c:pt>
                <c:pt idx="73">
                  <c:v>26.8</c:v>
                </c:pt>
                <c:pt idx="74">
                  <c:v>28.5</c:v>
                </c:pt>
                <c:pt idx="75">
                  <c:v>28.5</c:v>
                </c:pt>
                <c:pt idx="76">
                  <c:v>29.6</c:v>
                </c:pt>
                <c:pt idx="77">
                  <c:v>30.1</c:v>
                </c:pt>
                <c:pt idx="78">
                  <c:v>27</c:v>
                </c:pt>
                <c:pt idx="79">
                  <c:v>28.7</c:v>
                </c:pt>
                <c:pt idx="80">
                  <c:v>28.6</c:v>
                </c:pt>
                <c:pt idx="81">
                  <c:v>29.7</c:v>
                </c:pt>
                <c:pt idx="82">
                  <c:v>30.2</c:v>
                </c:pt>
                <c:pt idx="83">
                  <c:v>28.5</c:v>
                </c:pt>
                <c:pt idx="84">
                  <c:v>29.2</c:v>
                </c:pt>
                <c:pt idx="85">
                  <c:v>29.2</c:v>
                </c:pt>
                <c:pt idx="86">
                  <c:v>30.3</c:v>
                </c:pt>
                <c:pt idx="87">
                  <c:v>30.8</c:v>
                </c:pt>
                <c:pt idx="88">
                  <c:v>28.3</c:v>
                </c:pt>
                <c:pt idx="89">
                  <c:v>29.8</c:v>
                </c:pt>
                <c:pt idx="90">
                  <c:v>30</c:v>
                </c:pt>
                <c:pt idx="91">
                  <c:v>24.1</c:v>
                </c:pt>
                <c:pt idx="92">
                  <c:v>23.4</c:v>
                </c:pt>
                <c:pt idx="93">
                  <c:v>23.2</c:v>
                </c:pt>
                <c:pt idx="94">
                  <c:v>23</c:v>
                </c:pt>
                <c:pt idx="95">
                  <c:v>22.8</c:v>
                </c:pt>
                <c:pt idx="96">
                  <c:v>24.2</c:v>
                </c:pt>
                <c:pt idx="97">
                  <c:v>12.5</c:v>
                </c:pt>
                <c:pt idx="98">
                  <c:v>12.4</c:v>
                </c:pt>
                <c:pt idx="99">
                  <c:v>20.5</c:v>
                </c:pt>
                <c:pt idx="100">
                  <c:v>21.2</c:v>
                </c:pt>
                <c:pt idx="101">
                  <c:v>22.6</c:v>
                </c:pt>
                <c:pt idx="102">
                  <c:v>22.3</c:v>
                </c:pt>
                <c:pt idx="103">
                  <c:v>19.399999999999999</c:v>
                </c:pt>
                <c:pt idx="104">
                  <c:v>21.3</c:v>
                </c:pt>
                <c:pt idx="105">
                  <c:v>23.1</c:v>
                </c:pt>
                <c:pt idx="106">
                  <c:v>22.3</c:v>
                </c:pt>
                <c:pt idx="107">
                  <c:v>23.9</c:v>
                </c:pt>
                <c:pt idx="108">
                  <c:v>23.4</c:v>
                </c:pt>
                <c:pt idx="109">
                  <c:v>21.2</c:v>
                </c:pt>
                <c:pt idx="110">
                  <c:v>21.4</c:v>
                </c:pt>
                <c:pt idx="111">
                  <c:v>18.3</c:v>
                </c:pt>
                <c:pt idx="112">
                  <c:v>25.7</c:v>
                </c:pt>
                <c:pt idx="113">
                  <c:v>19.899999999999999</c:v>
                </c:pt>
                <c:pt idx="114">
                  <c:v>21.4</c:v>
                </c:pt>
                <c:pt idx="115">
                  <c:v>20.6</c:v>
                </c:pt>
                <c:pt idx="116">
                  <c:v>26.6</c:v>
                </c:pt>
                <c:pt idx="117">
                  <c:v>26.6</c:v>
                </c:pt>
                <c:pt idx="118">
                  <c:v>26.3</c:v>
                </c:pt>
                <c:pt idx="119">
                  <c:v>26.9</c:v>
                </c:pt>
                <c:pt idx="120">
                  <c:v>27.4</c:v>
                </c:pt>
                <c:pt idx="121">
                  <c:v>28.4</c:v>
                </c:pt>
                <c:pt idx="122">
                  <c:v>27.8</c:v>
                </c:pt>
                <c:pt idx="123">
                  <c:v>12</c:v>
                </c:pt>
                <c:pt idx="124">
                  <c:v>18.8</c:v>
                </c:pt>
                <c:pt idx="125">
                  <c:v>22.8</c:v>
                </c:pt>
                <c:pt idx="126">
                  <c:v>23</c:v>
                </c:pt>
                <c:pt idx="127">
                  <c:v>24</c:v>
                </c:pt>
                <c:pt idx="128">
                  <c:v>23.4</c:v>
                </c:pt>
                <c:pt idx="129">
                  <c:v>22.7</c:v>
                </c:pt>
                <c:pt idx="130">
                  <c:v>24.4</c:v>
                </c:pt>
                <c:pt idx="131">
                  <c:v>22.5</c:v>
                </c:pt>
                <c:pt idx="132">
                  <c:v>22.2</c:v>
                </c:pt>
                <c:pt idx="133">
                  <c:v>24.8</c:v>
                </c:pt>
                <c:pt idx="134">
                  <c:v>24.6</c:v>
                </c:pt>
                <c:pt idx="135">
                  <c:v>27.5</c:v>
                </c:pt>
                <c:pt idx="136">
                  <c:v>18.899999999999999</c:v>
                </c:pt>
                <c:pt idx="137">
                  <c:v>20.100000000000001</c:v>
                </c:pt>
                <c:pt idx="138">
                  <c:v>25.1</c:v>
                </c:pt>
                <c:pt idx="139">
                  <c:v>26.7</c:v>
                </c:pt>
                <c:pt idx="140">
                  <c:v>27.6</c:v>
                </c:pt>
                <c:pt idx="141">
                  <c:v>25</c:v>
                </c:pt>
                <c:pt idx="142">
                  <c:v>23.9</c:v>
                </c:pt>
                <c:pt idx="143">
                  <c:v>24.8</c:v>
                </c:pt>
                <c:pt idx="144">
                  <c:v>24.4</c:v>
                </c:pt>
                <c:pt idx="145">
                  <c:v>25.8</c:v>
                </c:pt>
                <c:pt idx="146">
                  <c:v>25.6</c:v>
                </c:pt>
                <c:pt idx="147">
                  <c:v>23.3</c:v>
                </c:pt>
                <c:pt idx="148">
                  <c:v>28.8</c:v>
                </c:pt>
                <c:pt idx="149">
                  <c:v>27.4</c:v>
                </c:pt>
                <c:pt idx="150">
                  <c:v>24.8</c:v>
                </c:pt>
                <c:pt idx="151">
                  <c:v>25.6</c:v>
                </c:pt>
                <c:pt idx="152">
                  <c:v>26.8</c:v>
                </c:pt>
                <c:pt idx="153">
                  <c:v>25.2</c:v>
                </c:pt>
                <c:pt idx="154">
                  <c:v>27.2</c:v>
                </c:pt>
                <c:pt idx="155">
                  <c:v>27.1</c:v>
                </c:pt>
                <c:pt idx="156">
                  <c:v>23.4</c:v>
                </c:pt>
                <c:pt idx="157">
                  <c:v>19.8</c:v>
                </c:pt>
                <c:pt idx="158">
                  <c:v>21.9</c:v>
                </c:pt>
                <c:pt idx="159">
                  <c:v>22.3</c:v>
                </c:pt>
                <c:pt idx="160">
                  <c:v>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F1-48AE-A5B6-213DDEEA1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548560"/>
        <c:axId val="1220568720"/>
      </c:scatterChart>
      <c:valAx>
        <c:axId val="122054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Nettopreis in Euro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0568720"/>
        <c:crosses val="autoZero"/>
        <c:crossBetween val="midCat"/>
      </c:valAx>
      <c:valAx>
        <c:axId val="1220568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Punktzahl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054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Scores!$D$2:$D$162</c:f>
              <c:numCache>
                <c:formatCode>General</c:formatCode>
                <c:ptCount val="161"/>
                <c:pt idx="0">
                  <c:v>30000</c:v>
                </c:pt>
                <c:pt idx="1">
                  <c:v>37500</c:v>
                </c:pt>
                <c:pt idx="2">
                  <c:v>37500</c:v>
                </c:pt>
                <c:pt idx="3">
                  <c:v>31000</c:v>
                </c:pt>
                <c:pt idx="4">
                  <c:v>51000</c:v>
                </c:pt>
                <c:pt idx="5">
                  <c:v>29300</c:v>
                </c:pt>
                <c:pt idx="6">
                  <c:v>34500</c:v>
                </c:pt>
                <c:pt idx="7">
                  <c:v>34500</c:v>
                </c:pt>
                <c:pt idx="8">
                  <c:v>34500</c:v>
                </c:pt>
                <c:pt idx="9">
                  <c:v>27000</c:v>
                </c:pt>
                <c:pt idx="10">
                  <c:v>18000</c:v>
                </c:pt>
                <c:pt idx="11">
                  <c:v>18000</c:v>
                </c:pt>
                <c:pt idx="12">
                  <c:v>20000</c:v>
                </c:pt>
                <c:pt idx="13">
                  <c:v>21000</c:v>
                </c:pt>
                <c:pt idx="14">
                  <c:v>30000</c:v>
                </c:pt>
                <c:pt idx="20">
                  <c:v>26900</c:v>
                </c:pt>
                <c:pt idx="21">
                  <c:v>31900</c:v>
                </c:pt>
                <c:pt idx="22">
                  <c:v>33900</c:v>
                </c:pt>
                <c:pt idx="23">
                  <c:v>38900</c:v>
                </c:pt>
                <c:pt idx="24">
                  <c:v>47900</c:v>
                </c:pt>
                <c:pt idx="25">
                  <c:v>52900</c:v>
                </c:pt>
                <c:pt idx="26">
                  <c:v>14800</c:v>
                </c:pt>
                <c:pt idx="28">
                  <c:v>15390</c:v>
                </c:pt>
                <c:pt idx="29">
                  <c:v>21540</c:v>
                </c:pt>
                <c:pt idx="30">
                  <c:v>8920</c:v>
                </c:pt>
                <c:pt idx="31">
                  <c:v>9540</c:v>
                </c:pt>
                <c:pt idx="32">
                  <c:v>22500</c:v>
                </c:pt>
                <c:pt idx="33">
                  <c:v>27500</c:v>
                </c:pt>
                <c:pt idx="34">
                  <c:v>29500</c:v>
                </c:pt>
                <c:pt idx="35">
                  <c:v>37500</c:v>
                </c:pt>
                <c:pt idx="36">
                  <c:v>44000</c:v>
                </c:pt>
                <c:pt idx="37">
                  <c:v>50500</c:v>
                </c:pt>
                <c:pt idx="38">
                  <c:v>14280</c:v>
                </c:pt>
                <c:pt idx="39">
                  <c:v>25800</c:v>
                </c:pt>
                <c:pt idx="40">
                  <c:v>16840</c:v>
                </c:pt>
                <c:pt idx="41">
                  <c:v>34400</c:v>
                </c:pt>
                <c:pt idx="42">
                  <c:v>16875</c:v>
                </c:pt>
                <c:pt idx="43">
                  <c:v>18575</c:v>
                </c:pt>
                <c:pt idx="44">
                  <c:v>23205</c:v>
                </c:pt>
                <c:pt idx="45">
                  <c:v>20700</c:v>
                </c:pt>
                <c:pt idx="46">
                  <c:v>19160</c:v>
                </c:pt>
                <c:pt idx="47">
                  <c:v>28130</c:v>
                </c:pt>
                <c:pt idx="48">
                  <c:v>30720</c:v>
                </c:pt>
                <c:pt idx="57">
                  <c:v>26590</c:v>
                </c:pt>
                <c:pt idx="58">
                  <c:v>32000</c:v>
                </c:pt>
                <c:pt idx="59">
                  <c:v>37000</c:v>
                </c:pt>
                <c:pt idx="60">
                  <c:v>38500</c:v>
                </c:pt>
                <c:pt idx="61">
                  <c:v>45000</c:v>
                </c:pt>
                <c:pt idx="62">
                  <c:v>52000</c:v>
                </c:pt>
                <c:pt idx="69">
                  <c:v>4250</c:v>
                </c:pt>
                <c:pt idx="70">
                  <c:v>2900</c:v>
                </c:pt>
                <c:pt idx="71">
                  <c:v>4970</c:v>
                </c:pt>
                <c:pt idx="72">
                  <c:v>4200</c:v>
                </c:pt>
                <c:pt idx="73">
                  <c:v>16500</c:v>
                </c:pt>
                <c:pt idx="74">
                  <c:v>19000</c:v>
                </c:pt>
                <c:pt idx="75">
                  <c:v>19000</c:v>
                </c:pt>
                <c:pt idx="76">
                  <c:v>23500</c:v>
                </c:pt>
                <c:pt idx="77">
                  <c:v>24500</c:v>
                </c:pt>
                <c:pt idx="78">
                  <c:v>22330</c:v>
                </c:pt>
                <c:pt idx="79">
                  <c:v>25310</c:v>
                </c:pt>
                <c:pt idx="80">
                  <c:v>25310</c:v>
                </c:pt>
                <c:pt idx="81">
                  <c:v>30300</c:v>
                </c:pt>
                <c:pt idx="82">
                  <c:v>31310</c:v>
                </c:pt>
                <c:pt idx="83">
                  <c:v>18430</c:v>
                </c:pt>
                <c:pt idx="84">
                  <c:v>20940</c:v>
                </c:pt>
                <c:pt idx="85">
                  <c:v>20940</c:v>
                </c:pt>
                <c:pt idx="86">
                  <c:v>25440</c:v>
                </c:pt>
                <c:pt idx="87">
                  <c:v>26450</c:v>
                </c:pt>
                <c:pt idx="88">
                  <c:v>20450</c:v>
                </c:pt>
                <c:pt idx="89">
                  <c:v>23560</c:v>
                </c:pt>
                <c:pt idx="90">
                  <c:v>26710</c:v>
                </c:pt>
                <c:pt idx="91">
                  <c:v>6500</c:v>
                </c:pt>
                <c:pt idx="92">
                  <c:v>37500</c:v>
                </c:pt>
                <c:pt idx="93">
                  <c:v>29100</c:v>
                </c:pt>
                <c:pt idx="94">
                  <c:v>31500</c:v>
                </c:pt>
                <c:pt idx="95">
                  <c:v>41500</c:v>
                </c:pt>
                <c:pt idx="96">
                  <c:v>37500</c:v>
                </c:pt>
                <c:pt idx="104">
                  <c:v>23445</c:v>
                </c:pt>
                <c:pt idx="105">
                  <c:v>28085</c:v>
                </c:pt>
                <c:pt idx="106">
                  <c:v>28795</c:v>
                </c:pt>
                <c:pt idx="107">
                  <c:v>29705</c:v>
                </c:pt>
                <c:pt idx="108">
                  <c:v>30915</c:v>
                </c:pt>
                <c:pt idx="111">
                  <c:v>9970</c:v>
                </c:pt>
                <c:pt idx="112">
                  <c:v>31000</c:v>
                </c:pt>
                <c:pt idx="114">
                  <c:v>36000</c:v>
                </c:pt>
                <c:pt idx="116">
                  <c:v>37500</c:v>
                </c:pt>
                <c:pt idx="117">
                  <c:v>39500</c:v>
                </c:pt>
                <c:pt idx="118">
                  <c:v>41500</c:v>
                </c:pt>
                <c:pt idx="119">
                  <c:v>16500</c:v>
                </c:pt>
                <c:pt idx="120">
                  <c:v>18900</c:v>
                </c:pt>
                <c:pt idx="121">
                  <c:v>21900</c:v>
                </c:pt>
                <c:pt idx="122">
                  <c:v>22500</c:v>
                </c:pt>
                <c:pt idx="125">
                  <c:v>30320</c:v>
                </c:pt>
                <c:pt idx="126">
                  <c:v>30320</c:v>
                </c:pt>
                <c:pt idx="127">
                  <c:v>41680</c:v>
                </c:pt>
                <c:pt idx="128">
                  <c:v>44210</c:v>
                </c:pt>
                <c:pt idx="129">
                  <c:v>48050</c:v>
                </c:pt>
                <c:pt idx="130">
                  <c:v>50650</c:v>
                </c:pt>
                <c:pt idx="138">
                  <c:v>20000</c:v>
                </c:pt>
                <c:pt idx="139">
                  <c:v>23500</c:v>
                </c:pt>
                <c:pt idx="140">
                  <c:v>44500</c:v>
                </c:pt>
                <c:pt idx="141">
                  <c:v>13990</c:v>
                </c:pt>
                <c:pt idx="142">
                  <c:v>22900</c:v>
                </c:pt>
                <c:pt idx="143">
                  <c:v>24500</c:v>
                </c:pt>
                <c:pt idx="144">
                  <c:v>27200</c:v>
                </c:pt>
                <c:pt idx="145">
                  <c:v>31500</c:v>
                </c:pt>
                <c:pt idx="146">
                  <c:v>36900</c:v>
                </c:pt>
                <c:pt idx="149">
                  <c:v>4900</c:v>
                </c:pt>
                <c:pt idx="150">
                  <c:v>27022</c:v>
                </c:pt>
                <c:pt idx="151">
                  <c:v>30619</c:v>
                </c:pt>
                <c:pt idx="152">
                  <c:v>39707</c:v>
                </c:pt>
                <c:pt idx="153">
                  <c:v>43495</c:v>
                </c:pt>
                <c:pt idx="154">
                  <c:v>54333</c:v>
                </c:pt>
                <c:pt idx="155">
                  <c:v>51495</c:v>
                </c:pt>
                <c:pt idx="156">
                  <c:v>38120</c:v>
                </c:pt>
                <c:pt idx="158">
                  <c:v>52220</c:v>
                </c:pt>
              </c:numCache>
            </c:numRef>
          </c:xVal>
          <c:yVal>
            <c:numRef>
              <c:f>Scores!$AP$2:$AP$162</c:f>
              <c:numCache>
                <c:formatCode>0.0</c:formatCode>
                <c:ptCount val="161"/>
                <c:pt idx="0">
                  <c:v>21.6</c:v>
                </c:pt>
                <c:pt idx="1">
                  <c:v>22.9</c:v>
                </c:pt>
                <c:pt idx="2">
                  <c:v>24</c:v>
                </c:pt>
                <c:pt idx="3">
                  <c:v>19.7</c:v>
                </c:pt>
                <c:pt idx="4">
                  <c:v>19.5</c:v>
                </c:pt>
                <c:pt idx="5">
                  <c:v>21.7</c:v>
                </c:pt>
                <c:pt idx="6">
                  <c:v>19.7</c:v>
                </c:pt>
                <c:pt idx="7">
                  <c:v>22.3</c:v>
                </c:pt>
                <c:pt idx="8">
                  <c:v>21.6</c:v>
                </c:pt>
                <c:pt idx="9">
                  <c:v>24.5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24.9</c:v>
                </c:pt>
                <c:pt idx="14">
                  <c:v>27</c:v>
                </c:pt>
                <c:pt idx="15">
                  <c:v>24.8</c:v>
                </c:pt>
                <c:pt idx="16">
                  <c:v>25.4</c:v>
                </c:pt>
                <c:pt idx="17">
                  <c:v>19.5</c:v>
                </c:pt>
                <c:pt idx="18">
                  <c:v>-7.3</c:v>
                </c:pt>
                <c:pt idx="19">
                  <c:v>19.7</c:v>
                </c:pt>
                <c:pt idx="20">
                  <c:v>23.5</c:v>
                </c:pt>
                <c:pt idx="21">
                  <c:v>24.9</c:v>
                </c:pt>
                <c:pt idx="22">
                  <c:v>25</c:v>
                </c:pt>
                <c:pt idx="23">
                  <c:v>26.3</c:v>
                </c:pt>
                <c:pt idx="24">
                  <c:v>26.6</c:v>
                </c:pt>
                <c:pt idx="25">
                  <c:v>27</c:v>
                </c:pt>
                <c:pt idx="26">
                  <c:v>20.100000000000001</c:v>
                </c:pt>
                <c:pt idx="27">
                  <c:v>25</c:v>
                </c:pt>
                <c:pt idx="28">
                  <c:v>24</c:v>
                </c:pt>
                <c:pt idx="29">
                  <c:v>25.6</c:v>
                </c:pt>
                <c:pt idx="30">
                  <c:v>19</c:v>
                </c:pt>
                <c:pt idx="31">
                  <c:v>20.3</c:v>
                </c:pt>
                <c:pt idx="32">
                  <c:v>21.6</c:v>
                </c:pt>
                <c:pt idx="33">
                  <c:v>22.7</c:v>
                </c:pt>
                <c:pt idx="34">
                  <c:v>22.1</c:v>
                </c:pt>
                <c:pt idx="35">
                  <c:v>23.7</c:v>
                </c:pt>
                <c:pt idx="36">
                  <c:v>24.7</c:v>
                </c:pt>
                <c:pt idx="37">
                  <c:v>25.1</c:v>
                </c:pt>
                <c:pt idx="38">
                  <c:v>23.8</c:v>
                </c:pt>
                <c:pt idx="39">
                  <c:v>26.5</c:v>
                </c:pt>
                <c:pt idx="40">
                  <c:v>21.7</c:v>
                </c:pt>
                <c:pt idx="41">
                  <c:v>26.1</c:v>
                </c:pt>
                <c:pt idx="42">
                  <c:v>24.9</c:v>
                </c:pt>
                <c:pt idx="43">
                  <c:v>25.1</c:v>
                </c:pt>
                <c:pt idx="44">
                  <c:v>26.4</c:v>
                </c:pt>
                <c:pt idx="45">
                  <c:v>22.3</c:v>
                </c:pt>
                <c:pt idx="46">
                  <c:v>22.3</c:v>
                </c:pt>
                <c:pt idx="47">
                  <c:v>25.8</c:v>
                </c:pt>
                <c:pt idx="48">
                  <c:v>26.4</c:v>
                </c:pt>
                <c:pt idx="49">
                  <c:v>16.399999999999999</c:v>
                </c:pt>
                <c:pt idx="50">
                  <c:v>17.399999999999999</c:v>
                </c:pt>
                <c:pt idx="51">
                  <c:v>17.600000000000001</c:v>
                </c:pt>
                <c:pt idx="52">
                  <c:v>18.600000000000001</c:v>
                </c:pt>
                <c:pt idx="53">
                  <c:v>19.600000000000001</c:v>
                </c:pt>
                <c:pt idx="54">
                  <c:v>20.6</c:v>
                </c:pt>
                <c:pt idx="55">
                  <c:v>20.6</c:v>
                </c:pt>
                <c:pt idx="56">
                  <c:v>21.6</c:v>
                </c:pt>
                <c:pt idx="57">
                  <c:v>20.399999999999999</c:v>
                </c:pt>
                <c:pt idx="58">
                  <c:v>22.7</c:v>
                </c:pt>
                <c:pt idx="59">
                  <c:v>26.3</c:v>
                </c:pt>
                <c:pt idx="60">
                  <c:v>26.8</c:v>
                </c:pt>
                <c:pt idx="61">
                  <c:v>28.8</c:v>
                </c:pt>
                <c:pt idx="62">
                  <c:v>28.4</c:v>
                </c:pt>
                <c:pt idx="63">
                  <c:v>28</c:v>
                </c:pt>
                <c:pt idx="64">
                  <c:v>17.399999999999999</c:v>
                </c:pt>
                <c:pt idx="65">
                  <c:v>23.6</c:v>
                </c:pt>
                <c:pt idx="66">
                  <c:v>24.2</c:v>
                </c:pt>
                <c:pt idx="67">
                  <c:v>23.8</c:v>
                </c:pt>
                <c:pt idx="68">
                  <c:v>25.3</c:v>
                </c:pt>
                <c:pt idx="69">
                  <c:v>-1</c:v>
                </c:pt>
                <c:pt idx="70">
                  <c:v>1</c:v>
                </c:pt>
                <c:pt idx="71">
                  <c:v>0.3</c:v>
                </c:pt>
                <c:pt idx="72">
                  <c:v>2.2999999999999998</c:v>
                </c:pt>
                <c:pt idx="73">
                  <c:v>22.3</c:v>
                </c:pt>
                <c:pt idx="74">
                  <c:v>24.4</c:v>
                </c:pt>
                <c:pt idx="75">
                  <c:v>24.4</c:v>
                </c:pt>
                <c:pt idx="76">
                  <c:v>26.1</c:v>
                </c:pt>
                <c:pt idx="77">
                  <c:v>26.7</c:v>
                </c:pt>
                <c:pt idx="78">
                  <c:v>23.3</c:v>
                </c:pt>
                <c:pt idx="79">
                  <c:v>25.4</c:v>
                </c:pt>
                <c:pt idx="80">
                  <c:v>25.3</c:v>
                </c:pt>
                <c:pt idx="81">
                  <c:v>27.1</c:v>
                </c:pt>
                <c:pt idx="82">
                  <c:v>27.7</c:v>
                </c:pt>
                <c:pt idx="83">
                  <c:v>24.3</c:v>
                </c:pt>
                <c:pt idx="84">
                  <c:v>25.4</c:v>
                </c:pt>
                <c:pt idx="85">
                  <c:v>25.3</c:v>
                </c:pt>
                <c:pt idx="86">
                  <c:v>27.1</c:v>
                </c:pt>
                <c:pt idx="87">
                  <c:v>27.7</c:v>
                </c:pt>
                <c:pt idx="88">
                  <c:v>24.4</c:v>
                </c:pt>
                <c:pt idx="89">
                  <c:v>26.3</c:v>
                </c:pt>
                <c:pt idx="90">
                  <c:v>26.9</c:v>
                </c:pt>
                <c:pt idx="91">
                  <c:v>18.3</c:v>
                </c:pt>
                <c:pt idx="92">
                  <c:v>21.8</c:v>
                </c:pt>
                <c:pt idx="93">
                  <c:v>20.399999999999999</c:v>
                </c:pt>
                <c:pt idx="94">
                  <c:v>20.5</c:v>
                </c:pt>
                <c:pt idx="95">
                  <c:v>21.7</c:v>
                </c:pt>
                <c:pt idx="96">
                  <c:v>22.6</c:v>
                </c:pt>
                <c:pt idx="97">
                  <c:v>12.5</c:v>
                </c:pt>
                <c:pt idx="98">
                  <c:v>12.4</c:v>
                </c:pt>
                <c:pt idx="99">
                  <c:v>20.5</c:v>
                </c:pt>
                <c:pt idx="100">
                  <c:v>21.2</c:v>
                </c:pt>
                <c:pt idx="101">
                  <c:v>22.6</c:v>
                </c:pt>
                <c:pt idx="102">
                  <c:v>22.3</c:v>
                </c:pt>
                <c:pt idx="103">
                  <c:v>19.399999999999999</c:v>
                </c:pt>
                <c:pt idx="104">
                  <c:v>17.7</c:v>
                </c:pt>
                <c:pt idx="105">
                  <c:v>20.2</c:v>
                </c:pt>
                <c:pt idx="106">
                  <c:v>19.5</c:v>
                </c:pt>
                <c:pt idx="107">
                  <c:v>21.2</c:v>
                </c:pt>
                <c:pt idx="108">
                  <c:v>20.9</c:v>
                </c:pt>
                <c:pt idx="109">
                  <c:v>21.2</c:v>
                </c:pt>
                <c:pt idx="110">
                  <c:v>21.4</c:v>
                </c:pt>
                <c:pt idx="111">
                  <c:v>13</c:v>
                </c:pt>
                <c:pt idx="112">
                  <c:v>23.2</c:v>
                </c:pt>
                <c:pt idx="113">
                  <c:v>19.899999999999999</c:v>
                </c:pt>
                <c:pt idx="114">
                  <c:v>19.600000000000001</c:v>
                </c:pt>
                <c:pt idx="115">
                  <c:v>20.6</c:v>
                </c:pt>
                <c:pt idx="116">
                  <c:v>24.9</c:v>
                </c:pt>
                <c:pt idx="117">
                  <c:v>25.2</c:v>
                </c:pt>
                <c:pt idx="118">
                  <c:v>25.2</c:v>
                </c:pt>
                <c:pt idx="119">
                  <c:v>22.4</c:v>
                </c:pt>
                <c:pt idx="120">
                  <c:v>23.2</c:v>
                </c:pt>
                <c:pt idx="121">
                  <c:v>24.6</c:v>
                </c:pt>
                <c:pt idx="122">
                  <c:v>24.1</c:v>
                </c:pt>
                <c:pt idx="123">
                  <c:v>12</c:v>
                </c:pt>
                <c:pt idx="124">
                  <c:v>18.8</c:v>
                </c:pt>
                <c:pt idx="125">
                  <c:v>20.100000000000001</c:v>
                </c:pt>
                <c:pt idx="126">
                  <c:v>20.399999999999999</c:v>
                </c:pt>
                <c:pt idx="127">
                  <c:v>22.9</c:v>
                </c:pt>
                <c:pt idx="128">
                  <c:v>22.7</c:v>
                </c:pt>
                <c:pt idx="129">
                  <c:v>22.4</c:v>
                </c:pt>
                <c:pt idx="130">
                  <c:v>24.5</c:v>
                </c:pt>
                <c:pt idx="131">
                  <c:v>22.5</c:v>
                </c:pt>
                <c:pt idx="132">
                  <c:v>22.2</c:v>
                </c:pt>
                <c:pt idx="133">
                  <c:v>24.8</c:v>
                </c:pt>
                <c:pt idx="134">
                  <c:v>24.6</c:v>
                </c:pt>
                <c:pt idx="135">
                  <c:v>27.5</c:v>
                </c:pt>
                <c:pt idx="136">
                  <c:v>18.899999999999999</c:v>
                </c:pt>
                <c:pt idx="137">
                  <c:v>20.100000000000001</c:v>
                </c:pt>
                <c:pt idx="138">
                  <c:v>21.1</c:v>
                </c:pt>
                <c:pt idx="139">
                  <c:v>23.2</c:v>
                </c:pt>
                <c:pt idx="140">
                  <c:v>26.8</c:v>
                </c:pt>
                <c:pt idx="141">
                  <c:v>20.2</c:v>
                </c:pt>
                <c:pt idx="142">
                  <c:v>20.3</c:v>
                </c:pt>
                <c:pt idx="143">
                  <c:v>21.4</c:v>
                </c:pt>
                <c:pt idx="144">
                  <c:v>21.4</c:v>
                </c:pt>
                <c:pt idx="145">
                  <c:v>23.3</c:v>
                </c:pt>
                <c:pt idx="146">
                  <c:v>23.9</c:v>
                </c:pt>
                <c:pt idx="147">
                  <c:v>23.3</c:v>
                </c:pt>
                <c:pt idx="148">
                  <c:v>28.8</c:v>
                </c:pt>
                <c:pt idx="149">
                  <c:v>21.3</c:v>
                </c:pt>
                <c:pt idx="150">
                  <c:v>21.7</c:v>
                </c:pt>
                <c:pt idx="151">
                  <c:v>23</c:v>
                </c:pt>
                <c:pt idx="152">
                  <c:v>25.4</c:v>
                </c:pt>
                <c:pt idx="153">
                  <c:v>24.4</c:v>
                </c:pt>
                <c:pt idx="154">
                  <c:v>27.8</c:v>
                </c:pt>
                <c:pt idx="155">
                  <c:v>27.3</c:v>
                </c:pt>
                <c:pt idx="156">
                  <c:v>21.8</c:v>
                </c:pt>
                <c:pt idx="157">
                  <c:v>19.8</c:v>
                </c:pt>
                <c:pt idx="158">
                  <c:v>22.2</c:v>
                </c:pt>
                <c:pt idx="159">
                  <c:v>22.3</c:v>
                </c:pt>
                <c:pt idx="160">
                  <c:v>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D-457B-BA65-ABFDB6594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042704"/>
        <c:axId val="969041744"/>
      </c:scatterChart>
      <c:valAx>
        <c:axId val="9690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Nettopreis in Euro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9041744"/>
        <c:crosses val="autoZero"/>
        <c:crossBetween val="midCat"/>
      </c:valAx>
      <c:valAx>
        <c:axId val="969041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Punktzahl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90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GraphsAndCharts!$B$2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GraphsAndCharts!$A$3:$A$9</c:f>
              <c:strCache>
                <c:ptCount val="7"/>
                <c:pt idx="0">
                  <c:v>Automobilindustrie</c:v>
                </c:pt>
                <c:pt idx="1">
                  <c:v>Elektronikindustrie</c:v>
                </c:pt>
                <c:pt idx="2">
                  <c:v>Metall- und Maschinenbau</c:v>
                </c:pt>
                <c:pt idx="3">
                  <c:v>Plastik- und Chemieindustrie</c:v>
                </c:pt>
                <c:pt idx="4">
                  <c:v>Lebensmittelindustrie</c:v>
                </c:pt>
                <c:pt idx="5">
                  <c:v>Sonstige</c:v>
                </c:pt>
                <c:pt idx="6">
                  <c:v>unbestimmt</c:v>
                </c:pt>
              </c:strCache>
            </c:strRef>
          </c:cat>
          <c:val>
            <c:numRef>
              <c:f>GraphsAndCharts!$B$3:$B$9</c:f>
              <c:numCache>
                <c:formatCode>General</c:formatCode>
                <c:ptCount val="7"/>
                <c:pt idx="0">
                  <c:v>135</c:v>
                </c:pt>
                <c:pt idx="1">
                  <c:v>126</c:v>
                </c:pt>
                <c:pt idx="2">
                  <c:v>77</c:v>
                </c:pt>
                <c:pt idx="3">
                  <c:v>22</c:v>
                </c:pt>
                <c:pt idx="4">
                  <c:v>15</c:v>
                </c:pt>
                <c:pt idx="5">
                  <c:v>75</c:v>
                </c:pt>
                <c:pt idx="6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8-4587-A3E5-5E5198965714}"/>
            </c:ext>
          </c:extLst>
        </c:ser>
        <c:ser>
          <c:idx val="1"/>
          <c:order val="1"/>
          <c:tx>
            <c:strRef>
              <c:f>GraphsAndCharts!$C$2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GraphsAndCharts!$A$3:$A$9</c:f>
              <c:strCache>
                <c:ptCount val="7"/>
                <c:pt idx="0">
                  <c:v>Automobilindustrie</c:v>
                </c:pt>
                <c:pt idx="1">
                  <c:v>Elektronikindustrie</c:v>
                </c:pt>
                <c:pt idx="2">
                  <c:v>Metall- und Maschinenbau</c:v>
                </c:pt>
                <c:pt idx="3">
                  <c:v>Plastik- und Chemieindustrie</c:v>
                </c:pt>
                <c:pt idx="4">
                  <c:v>Lebensmittelindustrie</c:v>
                </c:pt>
                <c:pt idx="5">
                  <c:v>Sonstige</c:v>
                </c:pt>
                <c:pt idx="6">
                  <c:v>unbestimmt</c:v>
                </c:pt>
              </c:strCache>
            </c:strRef>
          </c:cat>
          <c:val>
            <c:numRef>
              <c:f>GraphsAndCharts!$C$3:$C$9</c:f>
              <c:numCache>
                <c:formatCode>General</c:formatCode>
                <c:ptCount val="7"/>
                <c:pt idx="0">
                  <c:v>136</c:v>
                </c:pt>
                <c:pt idx="1">
                  <c:v>157</c:v>
                </c:pt>
                <c:pt idx="2">
                  <c:v>66</c:v>
                </c:pt>
                <c:pt idx="3">
                  <c:v>24</c:v>
                </c:pt>
                <c:pt idx="4">
                  <c:v>15</c:v>
                </c:pt>
                <c:pt idx="5">
                  <c:v>61</c:v>
                </c:pt>
                <c:pt idx="6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8-4587-A3E5-5E51989657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50"/>
        <c:axId val="1220530320"/>
        <c:axId val="1220513520"/>
      </c:barChart>
      <c:catAx>
        <c:axId val="12205303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0513520"/>
        <c:crosses val="autoZero"/>
        <c:auto val="1"/>
        <c:lblAlgn val="ctr"/>
        <c:lblOffset val="100"/>
        <c:noMultiLvlLbl val="0"/>
      </c:catAx>
      <c:valAx>
        <c:axId val="1220513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Neuinstallationen</a:t>
                </a:r>
                <a:r>
                  <a:rPr lang="de-DE" baseline="0"/>
                  <a:t> in 1000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52767983666076923"/>
              <c:y val="0.87819014349328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053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987866947283694"/>
          <c:y val="1.9449270282273227E-2"/>
          <c:w val="0.17971004771048374"/>
          <c:h val="7.2933997852620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GraphsAndCharts!$E$61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GraphsAndCharts!$D$62:$D$71</c:f>
              <c:strCache>
                <c:ptCount val="10"/>
                <c:pt idx="0">
                  <c:v>Germany</c:v>
                </c:pt>
                <c:pt idx="1">
                  <c:v>Japan</c:v>
                </c:pt>
                <c:pt idx="2">
                  <c:v>China</c:v>
                </c:pt>
                <c:pt idx="3">
                  <c:v>South Korea</c:v>
                </c:pt>
                <c:pt idx="4">
                  <c:v>Denmark</c:v>
                </c:pt>
                <c:pt idx="5">
                  <c:v>Switzerland</c:v>
                </c:pt>
                <c:pt idx="6">
                  <c:v>USA</c:v>
                </c:pt>
                <c:pt idx="7">
                  <c:v>Taiwan</c:v>
                </c:pt>
                <c:pt idx="8">
                  <c:v>Italy</c:v>
                </c:pt>
                <c:pt idx="9">
                  <c:v>Canada</c:v>
                </c:pt>
              </c:strCache>
            </c:strRef>
          </c:cat>
          <c:val>
            <c:numRef>
              <c:f>GraphsAndCharts!$E$62:$E$71</c:f>
              <c:numCache>
                <c:formatCode>General</c:formatCode>
                <c:ptCount val="10"/>
                <c:pt idx="0">
                  <c:v>48</c:v>
                </c:pt>
                <c:pt idx="1">
                  <c:v>34</c:v>
                </c:pt>
                <c:pt idx="2">
                  <c:v>27</c:v>
                </c:pt>
                <c:pt idx="3">
                  <c:v>13</c:v>
                </c:pt>
                <c:pt idx="4">
                  <c:v>11</c:v>
                </c:pt>
                <c:pt idx="5">
                  <c:v>10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9-41CD-A2B1-E335C69F9C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494879"/>
        <c:axId val="703514559"/>
      </c:barChart>
      <c:catAx>
        <c:axId val="70349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3514559"/>
        <c:crosses val="autoZero"/>
        <c:auto val="1"/>
        <c:lblAlgn val="ctr"/>
        <c:lblOffset val="100"/>
        <c:noMultiLvlLbl val="0"/>
      </c:catAx>
      <c:valAx>
        <c:axId val="703514559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Anzahl der Cobots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349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4F221D50-8C82-4EDF-AD01-A2A102EE50F5}"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 underflow="0">
              <cx:binSize val="5"/>
            </cx:binning>
          </cx:layoutPr>
        </cx:series>
      </cx:plotAreaRegion>
      <cx:axis id="0">
        <cx:catScaling gapWidth="0.100000001"/>
        <cx:title>
          <cx:tx>
            <cx:txData>
              <cx:v>Punktzahl in Klassen von 5 Punkten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Punktzahl in Klassen von 5 Punkten </a:t>
              </a:r>
            </a:p>
          </cx:txPr>
        </cx:title>
        <cx:tickLabels/>
        <cx:numFmt formatCode="Standard" sourceLinked="0"/>
      </cx:axis>
      <cx:axis id="1">
        <cx:valScaling/>
        <cx:title>
          <cx:tx>
            <cx:txData>
              <cx:v>Anzahl von Cobots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Anzahl von Cobots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4</xdr:col>
      <xdr:colOff>38100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0DE0C-147D-482E-BB4D-C879D5E9C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4</xdr:col>
      <xdr:colOff>38100</xdr:colOff>
      <xdr:row>57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F40293-CE47-4787-AAD8-DF71183F5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433387</xdr:colOff>
      <xdr:row>0</xdr:row>
      <xdr:rowOff>119060</xdr:rowOff>
    </xdr:from>
    <xdr:to>
      <xdr:col>16</xdr:col>
      <xdr:colOff>327027</xdr:colOff>
      <xdr:row>16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B1596-94DD-2990-93A4-B0DB12541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59</xdr:row>
      <xdr:rowOff>4762</xdr:rowOff>
    </xdr:from>
    <xdr:to>
      <xdr:col>13</xdr:col>
      <xdr:colOff>400050</xdr:colOff>
      <xdr:row>73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89397B-FFBC-22BC-CF8D-723613717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13</xdr:col>
      <xdr:colOff>400050</xdr:colOff>
      <xdr:row>40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0B4D378-ED4B-4DA1-BA66-E838F32FED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5125" y="4953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mau.com/en/our-offer/products-and-solutions/robot-team/racer-5-0-80-cobot/" TargetMode="External"/><Relationship Id="rId18" Type="http://schemas.openxmlformats.org/officeDocument/2006/relationships/hyperlink" Target="https://www.nachirobotics.com/product/cmz05f/" TargetMode="External"/><Relationship Id="rId26" Type="http://schemas.openxmlformats.org/officeDocument/2006/relationships/hyperlink" Target="https://new.abb.com/products/robotics/robots/collaborative-robots/crb-15000" TargetMode="External"/><Relationship Id="rId39" Type="http://schemas.openxmlformats.org/officeDocument/2006/relationships/hyperlink" Target="https://www.universal-robots.com/products/ur20/" TargetMode="External"/><Relationship Id="rId21" Type="http://schemas.openxmlformats.org/officeDocument/2006/relationships/hyperlink" Target="https://neura-robotics.com/products/lara" TargetMode="External"/><Relationship Id="rId34" Type="http://schemas.openxmlformats.org/officeDocument/2006/relationships/hyperlink" Target="https://www.kuka.com/en-de/products/robot-systems/industrial-robots/lbr-iiwa" TargetMode="External"/><Relationship Id="rId42" Type="http://schemas.openxmlformats.org/officeDocument/2006/relationships/hyperlink" Target="https://www.jakarobotics.com/de/jaka-pro/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https://en.estun.com/?list_191/1790.html" TargetMode="External"/><Relationship Id="rId2" Type="http://schemas.openxmlformats.org/officeDocument/2006/relationships/hyperlink" Target="https://en.estun.com/?list_191/1794.html" TargetMode="External"/><Relationship Id="rId16" Type="http://schemas.openxmlformats.org/officeDocument/2006/relationships/hyperlink" Target="https://kawasakirobotics.com/products-robots/duaro1/" TargetMode="External"/><Relationship Id="rId29" Type="http://schemas.openxmlformats.org/officeDocument/2006/relationships/hyperlink" Target="https://www.fanuc.co.jp/en/product/robot/f_r_collabo.html" TargetMode="External"/><Relationship Id="rId1" Type="http://schemas.openxmlformats.org/officeDocument/2006/relationships/hyperlink" Target="https://www.jakarobotics.com/de/jaka-zu" TargetMode="External"/><Relationship Id="rId6" Type="http://schemas.openxmlformats.org/officeDocument/2006/relationships/hyperlink" Target="https://en.estun.com/?list_191/1798.html" TargetMode="External"/><Relationship Id="rId11" Type="http://schemas.openxmlformats.org/officeDocument/2006/relationships/hyperlink" Target="https://en.estun.com/?list_191/1788.html" TargetMode="External"/><Relationship Id="rId24" Type="http://schemas.openxmlformats.org/officeDocument/2006/relationships/hyperlink" Target="https://industrial.omron.de/de/products/tm-cobot" TargetMode="External"/><Relationship Id="rId32" Type="http://schemas.openxmlformats.org/officeDocument/2006/relationships/hyperlink" Target="https://www.kuka.com/en-be/products/amr-autonomous-mobile-robotics/mobile-robot-systems/kmr-iiwa" TargetMode="External"/><Relationship Id="rId37" Type="http://schemas.openxmlformats.org/officeDocument/2006/relationships/hyperlink" Target="https://www.universal-robots.com/products/ur10e/" TargetMode="External"/><Relationship Id="rId40" Type="http://schemas.openxmlformats.org/officeDocument/2006/relationships/hyperlink" Target="https://www.universal-robots.com/products/ur30/" TargetMode="External"/><Relationship Id="rId45" Type="http://schemas.openxmlformats.org/officeDocument/2006/relationships/hyperlink" Target="https://www.yaskawa.eu.com/robotics/robots/collaborative/seriesdetail/serie/hc-series_493" TargetMode="External"/><Relationship Id="rId5" Type="http://schemas.openxmlformats.org/officeDocument/2006/relationships/hyperlink" Target="https://en.estun.com/?list_191/1791.html" TargetMode="External"/><Relationship Id="rId15" Type="http://schemas.openxmlformats.org/officeDocument/2006/relationships/hyperlink" Target="https://www.jakarobotics.com/de/jaka-zu-s/" TargetMode="External"/><Relationship Id="rId23" Type="http://schemas.openxmlformats.org/officeDocument/2006/relationships/hyperlink" Target="https://neura-robotics.com/products/4ne-1" TargetMode="External"/><Relationship Id="rId28" Type="http://schemas.openxmlformats.org/officeDocument/2006/relationships/hyperlink" Target="https://new.abb.com/products/robotics/robots/collaborative-robots/yumi/single-arm" TargetMode="External"/><Relationship Id="rId36" Type="http://schemas.openxmlformats.org/officeDocument/2006/relationships/hyperlink" Target="https://www.universal-robots.com/products/ur5e/" TargetMode="External"/><Relationship Id="rId10" Type="http://schemas.openxmlformats.org/officeDocument/2006/relationships/hyperlink" Target="https://en.estun.com/?list_191/1796.html" TargetMode="External"/><Relationship Id="rId19" Type="http://schemas.openxmlformats.org/officeDocument/2006/relationships/hyperlink" Target="https://www.nachirobotics.com/product/cmz12f/" TargetMode="External"/><Relationship Id="rId31" Type="http://schemas.openxmlformats.org/officeDocument/2006/relationships/hyperlink" Target="https://www.kuka.com/en-be/products/amr-autonomous-mobile-robotics/mobile-robot-systems/kmr-iisy-autonomous-mobile-cobot" TargetMode="External"/><Relationship Id="rId44" Type="http://schemas.openxmlformats.org/officeDocument/2006/relationships/hyperlink" Target="https://www.nachirobotics.com/product/cz10/" TargetMode="External"/><Relationship Id="rId4" Type="http://schemas.openxmlformats.org/officeDocument/2006/relationships/hyperlink" Target="https://en.estun.com/?list_191/1799.html" TargetMode="External"/><Relationship Id="rId9" Type="http://schemas.openxmlformats.org/officeDocument/2006/relationships/hyperlink" Target="https://en.estun.com/?list_191/1789.html" TargetMode="External"/><Relationship Id="rId14" Type="http://schemas.openxmlformats.org/officeDocument/2006/relationships/hyperlink" Target="https://www.comau.com/en/our-offer/robotics-automation/collaborative-robotics/aura-collaborative-robot/" TargetMode="External"/><Relationship Id="rId22" Type="http://schemas.openxmlformats.org/officeDocument/2006/relationships/hyperlink" Target="https://neura-robotics.com/products/mipa" TargetMode="External"/><Relationship Id="rId27" Type="http://schemas.openxmlformats.org/officeDocument/2006/relationships/hyperlink" Target="https://new.abb.com/products/robotics/robots/collaborative-robots/yumi/dual-arm" TargetMode="External"/><Relationship Id="rId30" Type="http://schemas.openxmlformats.org/officeDocument/2006/relationships/hyperlink" Target="https://www.kuka.com/en-be/products/robotics-systems/industrial-robots/lbr-iisy-cobot" TargetMode="External"/><Relationship Id="rId35" Type="http://schemas.openxmlformats.org/officeDocument/2006/relationships/hyperlink" Target="https://www.universal-robots.com/products/ur3e/" TargetMode="External"/><Relationship Id="rId43" Type="http://schemas.openxmlformats.org/officeDocument/2006/relationships/hyperlink" Target="https://www.jakarobotics.com/de/jaka-minicobo/" TargetMode="External"/><Relationship Id="rId8" Type="http://schemas.openxmlformats.org/officeDocument/2006/relationships/hyperlink" Target="https://en.estun.com/?list_191/1797.html" TargetMode="External"/><Relationship Id="rId3" Type="http://schemas.openxmlformats.org/officeDocument/2006/relationships/hyperlink" Target="https://en.estun.com/?list_191/1795.html" TargetMode="External"/><Relationship Id="rId12" Type="http://schemas.openxmlformats.org/officeDocument/2006/relationships/hyperlink" Target="https://www.durr.com/de/produkte/endmontage/prueftechnik/einstellung-fahrerassistenzsysteme/einstellung-fahrerassistenzsysteme-nutzfahrzeuge-1" TargetMode="External"/><Relationship Id="rId17" Type="http://schemas.openxmlformats.org/officeDocument/2006/relationships/hyperlink" Target="https://kawasakirobotics.com/products-robots/bx200l/" TargetMode="External"/><Relationship Id="rId25" Type="http://schemas.openxmlformats.org/officeDocument/2006/relationships/hyperlink" Target="https://industrial.omron.de/de/products/tm-s-cobot" TargetMode="External"/><Relationship Id="rId33" Type="http://schemas.openxmlformats.org/officeDocument/2006/relationships/hyperlink" Target="https://www.kuka.com/en-be/industries/robots-used-in-medicine/kuka-solutions-for-medical-robots/lbr-med-medical-robot" TargetMode="External"/><Relationship Id="rId38" Type="http://schemas.openxmlformats.org/officeDocument/2006/relationships/hyperlink" Target="https://www.universal-robots.com/products/ur16e/" TargetMode="External"/><Relationship Id="rId46" Type="http://schemas.openxmlformats.org/officeDocument/2006/relationships/hyperlink" Target="https://expo.cloos.de/en/arcbot/" TargetMode="External"/><Relationship Id="rId20" Type="http://schemas.openxmlformats.org/officeDocument/2006/relationships/hyperlink" Target="https://neura-robotics.com/products/maira" TargetMode="External"/><Relationship Id="rId41" Type="http://schemas.openxmlformats.org/officeDocument/2006/relationships/hyperlink" Target="https://www.jakarobotics.com/de/jaka-all-in-on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2426-C798-48D3-88C9-86AC14BB1B1F}">
  <sheetPr>
    <tabColor theme="5" tint="0.59999389629810485"/>
  </sheetPr>
  <dimension ref="A1:AR173"/>
  <sheetViews>
    <sheetView zoomScale="70" zoomScaleNormal="70" workbookViewId="0">
      <pane ySplit="1" topLeftCell="A131" activePane="bottomLeft" state="frozen"/>
      <selection pane="bottomLeft" activeCell="Y172" sqref="Y172"/>
    </sheetView>
  </sheetViews>
  <sheetFormatPr defaultColWidth="9.140625" defaultRowHeight="15" x14ac:dyDescent="0.25"/>
  <cols>
    <col min="1" max="1" width="19.140625" customWidth="1"/>
    <col min="2" max="2" width="23.28515625" bestFit="1" customWidth="1"/>
    <col min="3" max="3" width="17.85546875" customWidth="1"/>
    <col min="4" max="4" width="10.140625" style="5" customWidth="1"/>
    <col min="5" max="5" width="10.140625" customWidth="1"/>
    <col min="6" max="6" width="10.7109375" customWidth="1"/>
    <col min="7" max="7" width="11.5703125" customWidth="1"/>
    <col min="8" max="8" width="9.42578125" customWidth="1"/>
    <col min="9" max="9" width="11.28515625" customWidth="1"/>
    <col min="10" max="10" width="6" customWidth="1"/>
    <col min="11" max="11" width="17.28515625" bestFit="1" customWidth="1"/>
    <col min="12" max="12" width="11.5703125" style="5" bestFit="1" customWidth="1"/>
    <col min="13" max="13" width="10" bestFit="1" customWidth="1"/>
    <col min="14" max="14" width="9.5703125" bestFit="1" customWidth="1"/>
    <col min="15" max="15" width="9.42578125" customWidth="1"/>
    <col min="16" max="16" width="10.42578125" bestFit="1" customWidth="1"/>
    <col min="17" max="18" width="7.42578125" bestFit="1" customWidth="1"/>
    <col min="19" max="19" width="6.7109375" bestFit="1" customWidth="1"/>
    <col min="20" max="20" width="9.85546875" bestFit="1" customWidth="1"/>
    <col min="21" max="21" width="11.5703125" bestFit="1" customWidth="1"/>
    <col min="22" max="22" width="8.7109375" bestFit="1" customWidth="1"/>
    <col min="23" max="23" width="8.140625" style="23" bestFit="1" customWidth="1"/>
    <col min="24" max="24" width="8.28515625" style="24" bestFit="1" customWidth="1"/>
    <col min="25" max="25" width="8.28515625" bestFit="1" customWidth="1"/>
    <col min="27" max="27" width="5.28515625" bestFit="1" customWidth="1"/>
    <col min="28" max="28" width="7.7109375" bestFit="1" customWidth="1"/>
    <col min="29" max="29" width="6" bestFit="1" customWidth="1"/>
    <col min="30" max="30" width="5.85546875" bestFit="1" customWidth="1"/>
    <col min="31" max="31" width="8.140625" bestFit="1" customWidth="1"/>
    <col min="32" max="32" width="6.42578125" bestFit="1" customWidth="1"/>
    <col min="33" max="33" width="6" bestFit="1" customWidth="1"/>
    <col min="34" max="34" width="7.7109375" bestFit="1" customWidth="1"/>
    <col min="35" max="35" width="5.42578125" bestFit="1" customWidth="1"/>
    <col min="36" max="36" width="5.85546875" bestFit="1" customWidth="1"/>
    <col min="37" max="37" width="5.7109375" bestFit="1" customWidth="1"/>
    <col min="38" max="38" width="6.7109375" bestFit="1" customWidth="1"/>
    <col min="39" max="39" width="7.7109375" bestFit="1" customWidth="1"/>
    <col min="40" max="40" width="8.7109375" bestFit="1" customWidth="1"/>
    <col min="41" max="41" width="10.42578125" style="5" bestFit="1" customWidth="1"/>
    <col min="42" max="42" width="17.28515625" bestFit="1" customWidth="1"/>
  </cols>
  <sheetData>
    <row r="1" spans="1:44" s="2" customFormat="1" ht="15.75" thickBot="1" x14ac:dyDescent="0.3">
      <c r="A1" s="2" t="s">
        <v>0</v>
      </c>
      <c r="B1" s="2" t="s">
        <v>1</v>
      </c>
      <c r="C1" s="2" t="s">
        <v>8</v>
      </c>
      <c r="D1" s="6" t="s">
        <v>185</v>
      </c>
      <c r="E1" s="2" t="s">
        <v>383</v>
      </c>
      <c r="F1" s="2" t="s">
        <v>384</v>
      </c>
      <c r="G1" s="2" t="s">
        <v>385</v>
      </c>
      <c r="H1" s="2" t="s">
        <v>100</v>
      </c>
      <c r="I1" s="2" t="s">
        <v>386</v>
      </c>
      <c r="J1" s="2" t="s">
        <v>245</v>
      </c>
      <c r="K1" s="2" t="s">
        <v>308</v>
      </c>
      <c r="L1" s="6" t="s">
        <v>306</v>
      </c>
      <c r="M1" s="2" t="s">
        <v>253</v>
      </c>
      <c r="N1" s="2" t="s">
        <v>246</v>
      </c>
      <c r="O1" s="2" t="s">
        <v>247</v>
      </c>
      <c r="P1" s="2" t="s">
        <v>232</v>
      </c>
      <c r="Q1" s="2" t="s">
        <v>248</v>
      </c>
      <c r="R1" s="2" t="s">
        <v>249</v>
      </c>
      <c r="S1" s="2" t="s">
        <v>250</v>
      </c>
      <c r="T1" s="2" t="s">
        <v>251</v>
      </c>
      <c r="U1" s="2" t="s">
        <v>300</v>
      </c>
      <c r="V1" s="2" t="s">
        <v>178</v>
      </c>
      <c r="W1" s="22" t="s">
        <v>185</v>
      </c>
      <c r="X1" s="25" t="s">
        <v>383</v>
      </c>
      <c r="Y1" s="25" t="s">
        <v>384</v>
      </c>
      <c r="Z1" s="25" t="s">
        <v>385</v>
      </c>
      <c r="AA1" s="25" t="s">
        <v>100</v>
      </c>
      <c r="AB1" s="25" t="s">
        <v>386</v>
      </c>
      <c r="AC1" s="25" t="s">
        <v>245</v>
      </c>
      <c r="AD1" s="25" t="s">
        <v>414</v>
      </c>
      <c r="AE1" s="25" t="s">
        <v>413</v>
      </c>
      <c r="AF1" s="2" t="s">
        <v>415</v>
      </c>
      <c r="AG1" s="2" t="s">
        <v>247</v>
      </c>
      <c r="AH1" s="2" t="s">
        <v>416</v>
      </c>
      <c r="AI1" s="2" t="s">
        <v>248</v>
      </c>
      <c r="AJ1" s="2" t="s">
        <v>249</v>
      </c>
      <c r="AK1" s="2" t="s">
        <v>250</v>
      </c>
      <c r="AL1" s="2" t="s">
        <v>236</v>
      </c>
      <c r="AM1" s="2" t="s">
        <v>417</v>
      </c>
      <c r="AN1" s="2" t="s">
        <v>178</v>
      </c>
      <c r="AO1" s="22" t="s">
        <v>387</v>
      </c>
      <c r="AP1" s="2" t="s">
        <v>435</v>
      </c>
    </row>
    <row r="2" spans="1:44" x14ac:dyDescent="0.25">
      <c r="A2" t="s">
        <v>2</v>
      </c>
      <c r="B2" t="s">
        <v>101</v>
      </c>
      <c r="C2" t="s">
        <v>326</v>
      </c>
      <c r="D2" s="5">
        <v>30000</v>
      </c>
      <c r="E2">
        <v>28</v>
      </c>
      <c r="F2">
        <v>0.02</v>
      </c>
      <c r="G2">
        <v>5</v>
      </c>
      <c r="H2">
        <v>6</v>
      </c>
      <c r="I2">
        <v>950</v>
      </c>
      <c r="J2">
        <v>1</v>
      </c>
      <c r="K2" t="s">
        <v>258</v>
      </c>
      <c r="L2" s="5" cm="1">
        <f t="array" ref="L2">INDEX(DataValidation!$B$2:$B$11, _xlfn.XMATCH(K2, DataValidation!$A$2:$A$11))</f>
        <v>2</v>
      </c>
      <c r="M2">
        <v>0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2</v>
      </c>
      <c r="W2" s="23">
        <f>IF(OR(ISBLANK(D2),W$169="N"),0,(W$170-D2)*W$168)</f>
        <v>2.666666666666667</v>
      </c>
      <c r="X2" s="24">
        <f>IF(OR(ISBLANK(E2),X$169="N"),0,(X$170-E2)*X$168)</f>
        <v>2.88</v>
      </c>
      <c r="Y2" s="24">
        <f>IF(OR(ISBLANK(F2),Y$169="N"),0,(Y$170-F2)*Y$168)</f>
        <v>1.6</v>
      </c>
      <c r="Z2" s="24">
        <f>IF(OR(ISBLANK(G2),Z$169="N"),0,G2*Z$168)</f>
        <v>1</v>
      </c>
      <c r="AA2" s="24">
        <f>IF(OR(ISBLANK(H2),AA$169="N"),0,H2*AA$168)</f>
        <v>3</v>
      </c>
      <c r="AB2" s="24">
        <f>IF(OR(ISBLANK(I2),AB$169="N"),0,I2*AB$168)</f>
        <v>3.166666666666667</v>
      </c>
      <c r="AC2" s="24">
        <f>IF(OR(ISBLANK(J2),AC$169="N"),0,J2*AC$168)</f>
        <v>1</v>
      </c>
      <c r="AD2" s="24">
        <f>IF(OR(ISBLANK(L2),AD$169="N"),0,L2*AD$168)</f>
        <v>2</v>
      </c>
      <c r="AE2" s="24">
        <f t="shared" ref="AE2:AJ2" si="0">IF(OR(ISBLANK(M2),AE$169="N"),0,M2*AE$168)</f>
        <v>0</v>
      </c>
      <c r="AF2" s="24">
        <f t="shared" si="0"/>
        <v>1</v>
      </c>
      <c r="AG2" s="24">
        <f t="shared" si="0"/>
        <v>0</v>
      </c>
      <c r="AH2" s="24">
        <f t="shared" si="0"/>
        <v>1</v>
      </c>
      <c r="AI2" s="24">
        <f t="shared" si="0"/>
        <v>1</v>
      </c>
      <c r="AJ2" s="24">
        <f t="shared" si="0"/>
        <v>0</v>
      </c>
      <c r="AK2" s="24">
        <f>IF(OR(ISBLANK(S2),AK$169="N"),0,S2*AK$168)</f>
        <v>0</v>
      </c>
      <c r="AL2" s="24">
        <f t="shared" ref="AL2" si="1">IF(OR(ISBLANK(T2),AL$169="N"),0,T2*AL$168)</f>
        <v>0</v>
      </c>
      <c r="AM2" s="24">
        <f t="shared" ref="AM2" si="2">IF(OR(ISBLANK(U2),AM$169="N"),0,U2*AM$168)</f>
        <v>0</v>
      </c>
      <c r="AN2" s="24">
        <f>IF(OR(ISBLANK(V2),AN$169="N"),0,V2*AN$168)</f>
        <v>4</v>
      </c>
      <c r="AO2" s="23">
        <f>ROUND(SUM(W2:AN2),1)</f>
        <v>24.3</v>
      </c>
      <c r="AP2" s="24">
        <f>ROUND(SUM(X2:AN2),1)</f>
        <v>21.6</v>
      </c>
      <c r="AQ2">
        <f>CORREL(AP2:AP162,D2:D162)</f>
        <v>0.4973176853215876</v>
      </c>
      <c r="AR2">
        <f>CORREL(AO2:AO162,D2:D162)</f>
        <v>0.20270980178363082</v>
      </c>
    </row>
    <row r="3" spans="1:44" x14ac:dyDescent="0.25">
      <c r="A3" t="s">
        <v>2</v>
      </c>
      <c r="B3" t="s">
        <v>102</v>
      </c>
      <c r="C3" t="s">
        <v>326</v>
      </c>
      <c r="D3" s="5">
        <v>37500</v>
      </c>
      <c r="E3">
        <v>48</v>
      </c>
      <c r="F3">
        <v>0.02</v>
      </c>
      <c r="G3">
        <v>10</v>
      </c>
      <c r="H3">
        <v>6</v>
      </c>
      <c r="I3">
        <v>1270</v>
      </c>
      <c r="J3">
        <v>1</v>
      </c>
      <c r="K3" t="s">
        <v>258</v>
      </c>
      <c r="L3" s="5" cm="1">
        <f t="array" ref="L3">INDEX(DataValidation!$B$2:$B$11, _xlfn.XMATCH(K3, DataValidation!$A$2:$A$11))</f>
        <v>2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2</v>
      </c>
      <c r="W3" s="23">
        <f t="shared" ref="W3:W66" si="3">IF(OR(ISBLANK(D3),W$169="N"),0,(W$170-D3)*W$168)</f>
        <v>1.6666666666666667</v>
      </c>
      <c r="X3" s="24">
        <f t="shared" ref="X3:X66" si="4">IF(OR(ISBLANK(E3),X$169="N"),0,(X$170-E3)*X$168)</f>
        <v>2.08</v>
      </c>
      <c r="Y3" s="24">
        <f t="shared" ref="Y3:Y66" si="5">IF(OR(ISBLANK(F3),Y$169="N"),0,(Y$170-F3)*Y$168)</f>
        <v>1.6</v>
      </c>
      <c r="Z3" s="24">
        <f t="shared" ref="Z3:Z66" si="6">IF(OR(ISBLANK(G3),Z$169="N"),0,G3*Z$168)</f>
        <v>2</v>
      </c>
      <c r="AA3" s="24">
        <f t="shared" ref="AA3:AA66" si="7">IF(OR(ISBLANK(H3),AA$169="N"),0,H3*AA$168)</f>
        <v>3</v>
      </c>
      <c r="AB3" s="24">
        <f t="shared" ref="AB3:AB66" si="8">IF(OR(ISBLANK(I3),AB$169="N"),0,I3*AB$168)</f>
        <v>4.2333333333333334</v>
      </c>
      <c r="AC3" s="24">
        <f t="shared" ref="AC3:AC66" si="9">IF(OR(ISBLANK(J3),AC$169="N"),0,J3*AC$168)</f>
        <v>1</v>
      </c>
      <c r="AD3" s="24">
        <f t="shared" ref="AD3:AD66" si="10">IF(OR(ISBLANK(L3),AD$169="N"),0,L3*AD$168)</f>
        <v>2</v>
      </c>
      <c r="AE3" s="24">
        <f t="shared" ref="AE3:AE66" si="11">IF(OR(ISBLANK(M3),AE$169="N"),0,M3*AE$168)</f>
        <v>0</v>
      </c>
      <c r="AF3" s="24">
        <f t="shared" ref="AF3:AF66" si="12">IF(OR(ISBLANK(N3),AF$169="N"),0,N3*AF$168)</f>
        <v>1</v>
      </c>
      <c r="AG3" s="24">
        <f t="shared" ref="AG3:AG66" si="13">IF(OR(ISBLANK(O3),AG$169="N"),0,O3*AG$168)</f>
        <v>0</v>
      </c>
      <c r="AH3" s="24">
        <f t="shared" ref="AH3:AH66" si="14">IF(OR(ISBLANK(P3),AH$169="N"),0,P3*AH$168)</f>
        <v>1</v>
      </c>
      <c r="AI3" s="24">
        <f t="shared" ref="AI3:AI66" si="15">IF(OR(ISBLANK(Q3),AI$169="N"),0,Q3*AI$168)</f>
        <v>1</v>
      </c>
      <c r="AJ3" s="24">
        <f t="shared" ref="AJ3:AJ66" si="16">IF(OR(ISBLANK(R3),AJ$169="N"),0,R3*AJ$168)</f>
        <v>0</v>
      </c>
      <c r="AK3" s="24">
        <f t="shared" ref="AK3:AK66" si="17">IF(OR(ISBLANK(S3),AK$169="N"),0,S3*AK$168)</f>
        <v>0</v>
      </c>
      <c r="AL3" s="24">
        <f t="shared" ref="AL3:AL66" si="18">IF(OR(ISBLANK(T3),AL$169="N"),0,T3*AL$168)</f>
        <v>0</v>
      </c>
      <c r="AM3" s="24">
        <f t="shared" ref="AM3:AM66" si="19">IF(OR(ISBLANK(U3),AM$169="N"),0,U3*AM$168)</f>
        <v>0</v>
      </c>
      <c r="AN3" s="24">
        <f t="shared" ref="AN3:AN66" si="20">IF(OR(ISBLANK(V3),AN$169="N"),0,V3*AN$168)</f>
        <v>4</v>
      </c>
      <c r="AO3" s="23">
        <f>ROUND(SUM(W3:AN3),1)</f>
        <v>24.6</v>
      </c>
      <c r="AP3" s="24">
        <f t="shared" ref="AP3:AP66" si="21">ROUND(SUM(X3:AN3),1)</f>
        <v>22.9</v>
      </c>
    </row>
    <row r="4" spans="1:44" x14ac:dyDescent="0.25">
      <c r="A4" t="s">
        <v>2</v>
      </c>
      <c r="B4" t="s">
        <v>103</v>
      </c>
      <c r="C4" t="s">
        <v>326</v>
      </c>
      <c r="D4" s="5">
        <v>37500</v>
      </c>
      <c r="E4">
        <v>51</v>
      </c>
      <c r="F4">
        <v>0.02</v>
      </c>
      <c r="G4">
        <v>12</v>
      </c>
      <c r="H4">
        <v>6</v>
      </c>
      <c r="I4">
        <v>1520</v>
      </c>
      <c r="J4">
        <v>1</v>
      </c>
      <c r="K4" t="s">
        <v>258</v>
      </c>
      <c r="L4" s="5" cm="1">
        <f t="array" ref="L4">INDEX(DataValidation!$B$2:$B$11, _xlfn.XMATCH(K4, DataValidation!$A$2:$A$11))</f>
        <v>2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2</v>
      </c>
      <c r="W4" s="23">
        <f t="shared" si="3"/>
        <v>1.6666666666666667</v>
      </c>
      <c r="X4" s="24">
        <f t="shared" si="4"/>
        <v>1.96</v>
      </c>
      <c r="Y4" s="24">
        <f t="shared" si="5"/>
        <v>1.6</v>
      </c>
      <c r="Z4" s="24">
        <f t="shared" si="6"/>
        <v>2.4000000000000004</v>
      </c>
      <c r="AA4" s="24">
        <f t="shared" si="7"/>
        <v>3</v>
      </c>
      <c r="AB4" s="24">
        <f t="shared" si="8"/>
        <v>5.0666666666666673</v>
      </c>
      <c r="AC4" s="24">
        <f t="shared" si="9"/>
        <v>1</v>
      </c>
      <c r="AD4" s="24">
        <f t="shared" si="10"/>
        <v>2</v>
      </c>
      <c r="AE4" s="24">
        <f t="shared" si="11"/>
        <v>0</v>
      </c>
      <c r="AF4" s="24">
        <f t="shared" si="12"/>
        <v>1</v>
      </c>
      <c r="AG4" s="24">
        <f t="shared" si="13"/>
        <v>0</v>
      </c>
      <c r="AH4" s="24">
        <f t="shared" si="14"/>
        <v>1</v>
      </c>
      <c r="AI4" s="24">
        <f t="shared" si="15"/>
        <v>1</v>
      </c>
      <c r="AJ4" s="24">
        <f t="shared" si="16"/>
        <v>0</v>
      </c>
      <c r="AK4" s="24">
        <f t="shared" si="17"/>
        <v>0</v>
      </c>
      <c r="AL4" s="24">
        <f t="shared" si="18"/>
        <v>0</v>
      </c>
      <c r="AM4" s="24">
        <f t="shared" si="19"/>
        <v>0</v>
      </c>
      <c r="AN4" s="24">
        <f t="shared" si="20"/>
        <v>4</v>
      </c>
      <c r="AO4" s="23">
        <f t="shared" ref="AO4:AO67" si="22">ROUND(SUM(W4:AN4),1)</f>
        <v>25.7</v>
      </c>
      <c r="AP4" s="24">
        <f t="shared" si="21"/>
        <v>24</v>
      </c>
    </row>
    <row r="5" spans="1:44" x14ac:dyDescent="0.25">
      <c r="A5" t="s">
        <v>2</v>
      </c>
      <c r="B5" t="s">
        <v>256</v>
      </c>
      <c r="C5" t="s">
        <v>326</v>
      </c>
      <c r="D5" s="5">
        <v>31000</v>
      </c>
      <c r="E5">
        <v>9.5</v>
      </c>
      <c r="F5">
        <v>0.02</v>
      </c>
      <c r="G5">
        <v>0.5</v>
      </c>
      <c r="H5">
        <v>7</v>
      </c>
      <c r="I5">
        <v>559</v>
      </c>
      <c r="J5">
        <v>1</v>
      </c>
      <c r="K5" t="s">
        <v>258</v>
      </c>
      <c r="L5" s="5" cm="1">
        <f t="array" ref="L5">INDEX(DataValidation!$B$2:$B$11, _xlfn.XMATCH(K5, DataValidation!$A$2:$A$11))</f>
        <v>2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 s="23">
        <f t="shared" si="3"/>
        <v>2.5333333333333337</v>
      </c>
      <c r="X5" s="24">
        <f t="shared" si="4"/>
        <v>3.62</v>
      </c>
      <c r="Y5" s="24">
        <f t="shared" si="5"/>
        <v>1.6</v>
      </c>
      <c r="Z5" s="24">
        <f t="shared" si="6"/>
        <v>0.1</v>
      </c>
      <c r="AA5" s="24">
        <f t="shared" si="7"/>
        <v>3.5</v>
      </c>
      <c r="AB5" s="24">
        <f t="shared" si="8"/>
        <v>1.8633333333333335</v>
      </c>
      <c r="AC5" s="24">
        <f t="shared" si="9"/>
        <v>1</v>
      </c>
      <c r="AD5" s="24">
        <f t="shared" si="10"/>
        <v>2</v>
      </c>
      <c r="AE5" s="24">
        <f t="shared" si="11"/>
        <v>0</v>
      </c>
      <c r="AF5" s="24">
        <f t="shared" si="12"/>
        <v>1</v>
      </c>
      <c r="AG5" s="24">
        <f t="shared" si="13"/>
        <v>0</v>
      </c>
      <c r="AH5" s="24">
        <f t="shared" si="14"/>
        <v>1</v>
      </c>
      <c r="AI5" s="24">
        <f t="shared" si="15"/>
        <v>0</v>
      </c>
      <c r="AJ5" s="24">
        <f t="shared" si="16"/>
        <v>0</v>
      </c>
      <c r="AK5" s="24">
        <f t="shared" si="17"/>
        <v>0</v>
      </c>
      <c r="AL5" s="24">
        <f t="shared" si="18"/>
        <v>0</v>
      </c>
      <c r="AM5" s="24">
        <f t="shared" si="19"/>
        <v>0</v>
      </c>
      <c r="AN5" s="24">
        <f t="shared" si="20"/>
        <v>4</v>
      </c>
      <c r="AO5" s="23">
        <f t="shared" si="22"/>
        <v>22.2</v>
      </c>
      <c r="AP5" s="24">
        <f t="shared" si="21"/>
        <v>19.7</v>
      </c>
    </row>
    <row r="6" spans="1:44" x14ac:dyDescent="0.25">
      <c r="A6" t="s">
        <v>2</v>
      </c>
      <c r="B6" t="s">
        <v>255</v>
      </c>
      <c r="C6" t="s">
        <v>326</v>
      </c>
      <c r="D6" s="5">
        <v>51000</v>
      </c>
      <c r="E6">
        <v>38</v>
      </c>
      <c r="F6">
        <v>0.02</v>
      </c>
      <c r="G6">
        <v>0.5</v>
      </c>
      <c r="H6">
        <v>7</v>
      </c>
      <c r="I6">
        <v>559</v>
      </c>
      <c r="J6">
        <v>2</v>
      </c>
      <c r="K6" t="s">
        <v>258</v>
      </c>
      <c r="L6" s="5" cm="1">
        <f t="array" ref="L6">INDEX(DataValidation!$B$2:$B$11, _xlfn.XMATCH(K6, DataValidation!$A$2:$A$11))</f>
        <v>2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 s="23">
        <f t="shared" si="3"/>
        <v>-0.13333333333333333</v>
      </c>
      <c r="X6" s="24">
        <f t="shared" si="4"/>
        <v>2.48</v>
      </c>
      <c r="Y6" s="24">
        <f t="shared" si="5"/>
        <v>1.6</v>
      </c>
      <c r="Z6" s="24">
        <f t="shared" si="6"/>
        <v>0.1</v>
      </c>
      <c r="AA6" s="24">
        <f t="shared" si="7"/>
        <v>3.5</v>
      </c>
      <c r="AB6" s="24">
        <f t="shared" si="8"/>
        <v>1.8633333333333335</v>
      </c>
      <c r="AC6" s="24">
        <f t="shared" si="9"/>
        <v>2</v>
      </c>
      <c r="AD6" s="24">
        <f t="shared" si="10"/>
        <v>2</v>
      </c>
      <c r="AE6" s="24">
        <f t="shared" si="11"/>
        <v>0</v>
      </c>
      <c r="AF6" s="24">
        <f t="shared" si="12"/>
        <v>1</v>
      </c>
      <c r="AG6" s="24">
        <f t="shared" si="13"/>
        <v>0</v>
      </c>
      <c r="AH6" s="24">
        <f t="shared" si="14"/>
        <v>1</v>
      </c>
      <c r="AI6" s="24">
        <f t="shared" si="15"/>
        <v>0</v>
      </c>
      <c r="AJ6" s="24">
        <f t="shared" si="16"/>
        <v>0</v>
      </c>
      <c r="AK6" s="24">
        <f t="shared" si="17"/>
        <v>0</v>
      </c>
      <c r="AL6" s="24">
        <f t="shared" si="18"/>
        <v>0</v>
      </c>
      <c r="AM6" s="24">
        <f t="shared" si="19"/>
        <v>0</v>
      </c>
      <c r="AN6" s="24">
        <f t="shared" si="20"/>
        <v>4</v>
      </c>
      <c r="AO6" s="23">
        <f t="shared" si="22"/>
        <v>19.399999999999999</v>
      </c>
      <c r="AP6" s="24">
        <f t="shared" si="21"/>
        <v>19.5</v>
      </c>
    </row>
    <row r="7" spans="1:44" x14ac:dyDescent="0.25">
      <c r="A7" t="s">
        <v>2</v>
      </c>
      <c r="B7" t="s">
        <v>259</v>
      </c>
      <c r="C7" t="s">
        <v>326</v>
      </c>
      <c r="D7" s="5">
        <v>29300</v>
      </c>
      <c r="E7">
        <v>21</v>
      </c>
      <c r="F7">
        <v>0.01</v>
      </c>
      <c r="G7">
        <v>4</v>
      </c>
      <c r="H7">
        <v>6</v>
      </c>
      <c r="I7">
        <v>580</v>
      </c>
      <c r="J7">
        <v>1</v>
      </c>
      <c r="K7" t="s">
        <v>258</v>
      </c>
      <c r="L7" s="5" cm="1">
        <f t="array" ref="L7">INDEX(DataValidation!$B$2:$B$11, _xlfn.XMATCH(K7, DataValidation!$A$2:$A$11))</f>
        <v>2</v>
      </c>
      <c r="M7">
        <v>1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2</v>
      </c>
      <c r="W7" s="23">
        <f t="shared" si="3"/>
        <v>2.7600000000000002</v>
      </c>
      <c r="X7" s="24">
        <f t="shared" si="4"/>
        <v>3.16</v>
      </c>
      <c r="Y7" s="24">
        <f t="shared" si="5"/>
        <v>1.8000000000000003</v>
      </c>
      <c r="Z7" s="24">
        <f t="shared" si="6"/>
        <v>0.8</v>
      </c>
      <c r="AA7" s="24">
        <f t="shared" si="7"/>
        <v>3</v>
      </c>
      <c r="AB7" s="24">
        <f t="shared" si="8"/>
        <v>1.9333333333333333</v>
      </c>
      <c r="AC7" s="24">
        <f t="shared" si="9"/>
        <v>1</v>
      </c>
      <c r="AD7" s="24">
        <f t="shared" si="10"/>
        <v>2</v>
      </c>
      <c r="AE7" s="24">
        <f t="shared" si="11"/>
        <v>1</v>
      </c>
      <c r="AF7" s="24">
        <f t="shared" si="12"/>
        <v>1</v>
      </c>
      <c r="AG7" s="24">
        <f t="shared" si="13"/>
        <v>0</v>
      </c>
      <c r="AH7" s="24">
        <f t="shared" si="14"/>
        <v>1</v>
      </c>
      <c r="AI7" s="24">
        <f t="shared" si="15"/>
        <v>0</v>
      </c>
      <c r="AJ7" s="24">
        <f t="shared" si="16"/>
        <v>1</v>
      </c>
      <c r="AK7" s="24">
        <f t="shared" si="17"/>
        <v>0</v>
      </c>
      <c r="AL7" s="24">
        <f t="shared" si="18"/>
        <v>0</v>
      </c>
      <c r="AM7" s="24">
        <f t="shared" si="19"/>
        <v>0</v>
      </c>
      <c r="AN7" s="24">
        <f t="shared" si="20"/>
        <v>4</v>
      </c>
      <c r="AO7" s="23">
        <f t="shared" si="22"/>
        <v>24.5</v>
      </c>
      <c r="AP7" s="24">
        <f t="shared" si="21"/>
        <v>21.7</v>
      </c>
    </row>
    <row r="8" spans="1:44" x14ac:dyDescent="0.25">
      <c r="A8" t="s">
        <v>2</v>
      </c>
      <c r="B8" t="s">
        <v>260</v>
      </c>
      <c r="C8" t="s">
        <v>326</v>
      </c>
      <c r="D8" s="5">
        <v>34500</v>
      </c>
      <c r="E8">
        <v>75</v>
      </c>
      <c r="F8">
        <v>0.03</v>
      </c>
      <c r="G8">
        <v>7</v>
      </c>
      <c r="H8">
        <v>6</v>
      </c>
      <c r="I8">
        <v>580</v>
      </c>
      <c r="J8">
        <v>1</v>
      </c>
      <c r="K8" t="s">
        <v>258</v>
      </c>
      <c r="L8" s="5" cm="1">
        <f t="array" ref="L8">INDEX(DataValidation!$B$2:$B$11, _xlfn.XMATCH(K8, DataValidation!$A$2:$A$11))</f>
        <v>2</v>
      </c>
      <c r="M8">
        <v>1</v>
      </c>
      <c r="N8">
        <v>1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2</v>
      </c>
      <c r="W8" s="23">
        <f t="shared" si="3"/>
        <v>2.0666666666666669</v>
      </c>
      <c r="X8" s="24">
        <f t="shared" si="4"/>
        <v>1</v>
      </c>
      <c r="Y8" s="24">
        <f t="shared" si="5"/>
        <v>1.4000000000000001</v>
      </c>
      <c r="Z8" s="24">
        <f t="shared" si="6"/>
        <v>1.4000000000000001</v>
      </c>
      <c r="AA8" s="24">
        <f t="shared" si="7"/>
        <v>3</v>
      </c>
      <c r="AB8" s="24">
        <f t="shared" si="8"/>
        <v>1.9333333333333333</v>
      </c>
      <c r="AC8" s="24">
        <f t="shared" si="9"/>
        <v>1</v>
      </c>
      <c r="AD8" s="24">
        <f t="shared" si="10"/>
        <v>2</v>
      </c>
      <c r="AE8" s="24">
        <f t="shared" si="11"/>
        <v>1</v>
      </c>
      <c r="AF8" s="24">
        <f t="shared" si="12"/>
        <v>1</v>
      </c>
      <c r="AG8" s="24">
        <f t="shared" si="13"/>
        <v>0</v>
      </c>
      <c r="AH8" s="24">
        <f t="shared" si="14"/>
        <v>1</v>
      </c>
      <c r="AI8" s="24">
        <f t="shared" si="15"/>
        <v>0</v>
      </c>
      <c r="AJ8" s="24">
        <f t="shared" si="16"/>
        <v>1</v>
      </c>
      <c r="AK8" s="24">
        <f t="shared" si="17"/>
        <v>0</v>
      </c>
      <c r="AL8" s="24">
        <f t="shared" si="18"/>
        <v>0</v>
      </c>
      <c r="AM8" s="24">
        <f t="shared" si="19"/>
        <v>0</v>
      </c>
      <c r="AN8" s="24">
        <f t="shared" si="20"/>
        <v>4</v>
      </c>
      <c r="AO8" s="23">
        <f t="shared" si="22"/>
        <v>21.8</v>
      </c>
      <c r="AP8" s="24">
        <f t="shared" si="21"/>
        <v>19.7</v>
      </c>
    </row>
    <row r="9" spans="1:44" x14ac:dyDescent="0.25">
      <c r="A9" t="s">
        <v>2</v>
      </c>
      <c r="B9" t="s">
        <v>261</v>
      </c>
      <c r="C9" t="s">
        <v>326</v>
      </c>
      <c r="D9" s="5">
        <v>34500</v>
      </c>
      <c r="E9">
        <v>77</v>
      </c>
      <c r="F9">
        <v>2.3E-2</v>
      </c>
      <c r="G9">
        <v>10</v>
      </c>
      <c r="H9">
        <v>6</v>
      </c>
      <c r="I9">
        <v>1150</v>
      </c>
      <c r="J9">
        <v>1</v>
      </c>
      <c r="K9" t="s">
        <v>258</v>
      </c>
      <c r="L9" s="5" cm="1">
        <f t="array" ref="L9">INDEX(DataValidation!$B$2:$B$11, _xlfn.XMATCH(K9, DataValidation!$A$2:$A$11))</f>
        <v>2</v>
      </c>
      <c r="M9">
        <v>1</v>
      </c>
      <c r="N9">
        <v>1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2</v>
      </c>
      <c r="W9" s="23">
        <f t="shared" si="3"/>
        <v>2.0666666666666669</v>
      </c>
      <c r="X9" s="24">
        <f t="shared" si="4"/>
        <v>0.92</v>
      </c>
      <c r="Y9" s="24">
        <f t="shared" si="5"/>
        <v>1.5400000000000003</v>
      </c>
      <c r="Z9" s="24">
        <f t="shared" si="6"/>
        <v>2</v>
      </c>
      <c r="AA9" s="24">
        <f t="shared" si="7"/>
        <v>3</v>
      </c>
      <c r="AB9" s="24">
        <f t="shared" si="8"/>
        <v>3.8333333333333335</v>
      </c>
      <c r="AC9" s="24">
        <f t="shared" si="9"/>
        <v>1</v>
      </c>
      <c r="AD9" s="24">
        <f t="shared" si="10"/>
        <v>2</v>
      </c>
      <c r="AE9" s="24">
        <f t="shared" si="11"/>
        <v>1</v>
      </c>
      <c r="AF9" s="24">
        <f t="shared" si="12"/>
        <v>1</v>
      </c>
      <c r="AG9" s="24">
        <f t="shared" si="13"/>
        <v>0</v>
      </c>
      <c r="AH9" s="24">
        <f t="shared" si="14"/>
        <v>1</v>
      </c>
      <c r="AI9" s="24">
        <f t="shared" si="15"/>
        <v>0</v>
      </c>
      <c r="AJ9" s="24">
        <f t="shared" si="16"/>
        <v>1</v>
      </c>
      <c r="AK9" s="24">
        <f t="shared" si="17"/>
        <v>0</v>
      </c>
      <c r="AL9" s="24">
        <f t="shared" si="18"/>
        <v>0</v>
      </c>
      <c r="AM9" s="24">
        <f t="shared" si="19"/>
        <v>0</v>
      </c>
      <c r="AN9" s="24">
        <f t="shared" si="20"/>
        <v>4</v>
      </c>
      <c r="AO9" s="23">
        <f t="shared" si="22"/>
        <v>24.4</v>
      </c>
      <c r="AP9" s="24">
        <f t="shared" si="21"/>
        <v>22.3</v>
      </c>
    </row>
    <row r="10" spans="1:44" x14ac:dyDescent="0.25">
      <c r="A10" t="s">
        <v>2</v>
      </c>
      <c r="B10" t="s">
        <v>262</v>
      </c>
      <c r="C10" t="s">
        <v>326</v>
      </c>
      <c r="D10" s="5">
        <v>34500</v>
      </c>
      <c r="E10">
        <v>79</v>
      </c>
      <c r="F10">
        <v>0.02</v>
      </c>
      <c r="G10">
        <v>11</v>
      </c>
      <c r="H10">
        <v>6</v>
      </c>
      <c r="I10">
        <v>900</v>
      </c>
      <c r="J10">
        <v>1</v>
      </c>
      <c r="K10" t="s">
        <v>258</v>
      </c>
      <c r="L10" s="5" cm="1">
        <f t="array" ref="L10">INDEX(DataValidation!$B$2:$B$11, _xlfn.XMATCH(K10, DataValidation!$A$2:$A$11))</f>
        <v>2</v>
      </c>
      <c r="M10">
        <v>1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2</v>
      </c>
      <c r="W10" s="23">
        <f t="shared" si="3"/>
        <v>2.0666666666666669</v>
      </c>
      <c r="X10" s="24">
        <f t="shared" si="4"/>
        <v>0.84</v>
      </c>
      <c r="Y10" s="24">
        <f t="shared" si="5"/>
        <v>1.6</v>
      </c>
      <c r="Z10" s="24">
        <f t="shared" si="6"/>
        <v>2.2000000000000002</v>
      </c>
      <c r="AA10" s="24">
        <f t="shared" si="7"/>
        <v>3</v>
      </c>
      <c r="AB10" s="24">
        <f t="shared" si="8"/>
        <v>3</v>
      </c>
      <c r="AC10" s="24">
        <f t="shared" si="9"/>
        <v>1</v>
      </c>
      <c r="AD10" s="24">
        <f t="shared" si="10"/>
        <v>2</v>
      </c>
      <c r="AE10" s="24">
        <f t="shared" si="11"/>
        <v>1</v>
      </c>
      <c r="AF10" s="24">
        <f t="shared" si="12"/>
        <v>1</v>
      </c>
      <c r="AG10" s="24">
        <f t="shared" si="13"/>
        <v>0</v>
      </c>
      <c r="AH10" s="24">
        <f t="shared" si="14"/>
        <v>1</v>
      </c>
      <c r="AI10" s="24">
        <f t="shared" si="15"/>
        <v>0</v>
      </c>
      <c r="AJ10" s="24">
        <f t="shared" si="16"/>
        <v>1</v>
      </c>
      <c r="AK10" s="24">
        <f t="shared" si="17"/>
        <v>0</v>
      </c>
      <c r="AL10" s="24">
        <f t="shared" si="18"/>
        <v>0</v>
      </c>
      <c r="AM10" s="24">
        <f t="shared" si="19"/>
        <v>0</v>
      </c>
      <c r="AN10" s="24">
        <f t="shared" si="20"/>
        <v>4</v>
      </c>
      <c r="AO10" s="23">
        <f t="shared" si="22"/>
        <v>23.7</v>
      </c>
      <c r="AP10" s="24">
        <f t="shared" si="21"/>
        <v>21.6</v>
      </c>
    </row>
    <row r="11" spans="1:44" x14ac:dyDescent="0.25">
      <c r="A11" t="s">
        <v>263</v>
      </c>
      <c r="B11" t="s">
        <v>264</v>
      </c>
      <c r="C11" t="s">
        <v>9</v>
      </c>
      <c r="D11" s="5">
        <v>27000</v>
      </c>
      <c r="E11">
        <v>31.5</v>
      </c>
      <c r="F11">
        <v>0.05</v>
      </c>
      <c r="G11">
        <v>7</v>
      </c>
      <c r="H11">
        <v>6</v>
      </c>
      <c r="I11">
        <v>1000</v>
      </c>
      <c r="J11">
        <v>1</v>
      </c>
      <c r="K11" t="s">
        <v>304</v>
      </c>
      <c r="L11" s="5" cm="1">
        <f t="array" ref="L11">INDEX(DataValidation!$B$2:$B$11, _xlfn.XMATCH(K11, DataValidation!$A$2:$A$11))</f>
        <v>3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2</v>
      </c>
      <c r="W11" s="23">
        <f t="shared" si="3"/>
        <v>3.0666666666666669</v>
      </c>
      <c r="X11" s="24">
        <f t="shared" si="4"/>
        <v>2.74</v>
      </c>
      <c r="Y11" s="24">
        <f t="shared" si="5"/>
        <v>1</v>
      </c>
      <c r="Z11" s="24">
        <f t="shared" si="6"/>
        <v>1.4000000000000001</v>
      </c>
      <c r="AA11" s="24">
        <f t="shared" si="7"/>
        <v>3</v>
      </c>
      <c r="AB11" s="24">
        <f t="shared" si="8"/>
        <v>3.3333333333333335</v>
      </c>
      <c r="AC11" s="24">
        <f t="shared" si="9"/>
        <v>1</v>
      </c>
      <c r="AD11" s="24">
        <f t="shared" si="10"/>
        <v>3</v>
      </c>
      <c r="AE11" s="24">
        <f t="shared" si="11"/>
        <v>0</v>
      </c>
      <c r="AF11" s="24">
        <f t="shared" si="12"/>
        <v>1</v>
      </c>
      <c r="AG11" s="24">
        <f t="shared" si="13"/>
        <v>1</v>
      </c>
      <c r="AH11" s="24">
        <f t="shared" si="14"/>
        <v>1</v>
      </c>
      <c r="AI11" s="24">
        <f t="shared" si="15"/>
        <v>1</v>
      </c>
      <c r="AJ11" s="24">
        <f t="shared" si="16"/>
        <v>1</v>
      </c>
      <c r="AK11" s="24">
        <f t="shared" si="17"/>
        <v>0</v>
      </c>
      <c r="AL11" s="24">
        <f t="shared" si="18"/>
        <v>0</v>
      </c>
      <c r="AM11" s="24">
        <f t="shared" si="19"/>
        <v>0</v>
      </c>
      <c r="AN11" s="24">
        <f t="shared" si="20"/>
        <v>4</v>
      </c>
      <c r="AO11" s="23">
        <f t="shared" si="22"/>
        <v>27.5</v>
      </c>
      <c r="AP11" s="24">
        <f t="shared" si="21"/>
        <v>24.5</v>
      </c>
    </row>
    <row r="12" spans="1:44" x14ac:dyDescent="0.25">
      <c r="A12" t="s">
        <v>265</v>
      </c>
      <c r="B12" t="s">
        <v>267</v>
      </c>
      <c r="C12" t="s">
        <v>266</v>
      </c>
      <c r="D12" s="5">
        <v>18000</v>
      </c>
      <c r="E12">
        <v>16</v>
      </c>
      <c r="F12">
        <v>0.05</v>
      </c>
      <c r="G12">
        <v>3</v>
      </c>
      <c r="H12">
        <v>6</v>
      </c>
      <c r="I12">
        <v>625</v>
      </c>
      <c r="J12">
        <v>1</v>
      </c>
      <c r="K12" t="s">
        <v>305</v>
      </c>
      <c r="L12" s="5" cm="1">
        <f t="array" ref="L12">INDEX(DataValidation!$B$2:$B$11, _xlfn.XMATCH(K12, DataValidation!$A$2:$A$11))</f>
        <v>3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2</v>
      </c>
      <c r="W12" s="23">
        <f t="shared" si="3"/>
        <v>4.2666666666666666</v>
      </c>
      <c r="X12" s="24">
        <f t="shared" si="4"/>
        <v>3.36</v>
      </c>
      <c r="Y12" s="24">
        <f t="shared" si="5"/>
        <v>1</v>
      </c>
      <c r="Z12" s="24">
        <f t="shared" si="6"/>
        <v>0.60000000000000009</v>
      </c>
      <c r="AA12" s="24">
        <f t="shared" si="7"/>
        <v>3</v>
      </c>
      <c r="AB12" s="24">
        <f t="shared" si="8"/>
        <v>2.0833333333333335</v>
      </c>
      <c r="AC12" s="24">
        <f t="shared" si="9"/>
        <v>1</v>
      </c>
      <c r="AD12" s="24">
        <f t="shared" si="10"/>
        <v>3</v>
      </c>
      <c r="AE12" s="24">
        <f t="shared" si="11"/>
        <v>0</v>
      </c>
      <c r="AF12" s="24">
        <f t="shared" si="12"/>
        <v>1</v>
      </c>
      <c r="AG12" s="24">
        <f t="shared" si="13"/>
        <v>0</v>
      </c>
      <c r="AH12" s="24">
        <f t="shared" si="14"/>
        <v>1</v>
      </c>
      <c r="AI12" s="24">
        <f t="shared" si="15"/>
        <v>1</v>
      </c>
      <c r="AJ12" s="24">
        <f t="shared" si="16"/>
        <v>1</v>
      </c>
      <c r="AK12" s="24">
        <f t="shared" si="17"/>
        <v>0.5</v>
      </c>
      <c r="AL12" s="24">
        <f t="shared" si="18"/>
        <v>0.5</v>
      </c>
      <c r="AM12" s="24">
        <f t="shared" si="19"/>
        <v>0</v>
      </c>
      <c r="AN12" s="24">
        <f t="shared" si="20"/>
        <v>4</v>
      </c>
      <c r="AO12" s="23">
        <f t="shared" si="22"/>
        <v>27.3</v>
      </c>
      <c r="AP12" s="24">
        <f t="shared" si="21"/>
        <v>23</v>
      </c>
    </row>
    <row r="13" spans="1:44" x14ac:dyDescent="0.25">
      <c r="A13" t="s">
        <v>265</v>
      </c>
      <c r="B13" t="s">
        <v>268</v>
      </c>
      <c r="C13" t="s">
        <v>266</v>
      </c>
      <c r="D13" s="5">
        <v>18000</v>
      </c>
      <c r="E13">
        <v>24</v>
      </c>
      <c r="F13">
        <v>0.05</v>
      </c>
      <c r="G13">
        <v>5</v>
      </c>
      <c r="H13">
        <v>6</v>
      </c>
      <c r="I13">
        <v>886.5</v>
      </c>
      <c r="J13">
        <v>1</v>
      </c>
      <c r="K13" t="s">
        <v>305</v>
      </c>
      <c r="L13" s="5" cm="1">
        <f t="array" ref="L13">INDEX(DataValidation!$B$2:$B$11, _xlfn.XMATCH(K13, DataValidation!$A$2:$A$11))</f>
        <v>3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2</v>
      </c>
      <c r="W13" s="23">
        <f t="shared" si="3"/>
        <v>4.2666666666666666</v>
      </c>
      <c r="X13" s="24">
        <f t="shared" si="4"/>
        <v>3.04</v>
      </c>
      <c r="Y13" s="24">
        <f t="shared" si="5"/>
        <v>1</v>
      </c>
      <c r="Z13" s="24">
        <f t="shared" si="6"/>
        <v>1</v>
      </c>
      <c r="AA13" s="24">
        <f t="shared" si="7"/>
        <v>3</v>
      </c>
      <c r="AB13" s="24">
        <f t="shared" si="8"/>
        <v>2.9550000000000001</v>
      </c>
      <c r="AC13" s="24">
        <f t="shared" si="9"/>
        <v>1</v>
      </c>
      <c r="AD13" s="24">
        <f t="shared" si="10"/>
        <v>3</v>
      </c>
      <c r="AE13" s="24">
        <f t="shared" si="11"/>
        <v>0</v>
      </c>
      <c r="AF13" s="24">
        <f t="shared" si="12"/>
        <v>1</v>
      </c>
      <c r="AG13" s="24">
        <f t="shared" si="13"/>
        <v>0</v>
      </c>
      <c r="AH13" s="24">
        <f t="shared" si="14"/>
        <v>1</v>
      </c>
      <c r="AI13" s="24">
        <f t="shared" si="15"/>
        <v>1</v>
      </c>
      <c r="AJ13" s="24">
        <f t="shared" si="16"/>
        <v>1</v>
      </c>
      <c r="AK13" s="24">
        <f t="shared" si="17"/>
        <v>0.5</v>
      </c>
      <c r="AL13" s="24">
        <f t="shared" si="18"/>
        <v>0.5</v>
      </c>
      <c r="AM13" s="24">
        <f t="shared" si="19"/>
        <v>0</v>
      </c>
      <c r="AN13" s="24">
        <f t="shared" si="20"/>
        <v>4</v>
      </c>
      <c r="AO13" s="23">
        <f t="shared" si="22"/>
        <v>28.3</v>
      </c>
      <c r="AP13" s="24">
        <f t="shared" si="21"/>
        <v>24</v>
      </c>
    </row>
    <row r="14" spans="1:44" x14ac:dyDescent="0.25">
      <c r="A14" t="s">
        <v>265</v>
      </c>
      <c r="B14" t="s">
        <v>269</v>
      </c>
      <c r="C14" t="s">
        <v>266</v>
      </c>
      <c r="D14" s="5">
        <v>20000</v>
      </c>
      <c r="E14">
        <v>38.5</v>
      </c>
      <c r="F14">
        <v>0.1</v>
      </c>
      <c r="G14">
        <v>10</v>
      </c>
      <c r="H14">
        <v>6</v>
      </c>
      <c r="I14">
        <v>1350</v>
      </c>
      <c r="J14">
        <v>1</v>
      </c>
      <c r="K14" t="s">
        <v>305</v>
      </c>
      <c r="L14" s="5" cm="1">
        <f t="array" ref="L14">INDEX(DataValidation!$B$2:$B$11, _xlfn.XMATCH(K14, DataValidation!$A$2:$A$11))</f>
        <v>3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2</v>
      </c>
      <c r="W14" s="23">
        <f t="shared" si="3"/>
        <v>4</v>
      </c>
      <c r="X14" s="24">
        <f t="shared" si="4"/>
        <v>2.46</v>
      </c>
      <c r="Y14" s="24">
        <f t="shared" si="5"/>
        <v>0</v>
      </c>
      <c r="Z14" s="24">
        <f t="shared" si="6"/>
        <v>2</v>
      </c>
      <c r="AA14" s="24">
        <f t="shared" si="7"/>
        <v>3</v>
      </c>
      <c r="AB14" s="24">
        <f t="shared" si="8"/>
        <v>4.5</v>
      </c>
      <c r="AC14" s="24">
        <f t="shared" si="9"/>
        <v>1</v>
      </c>
      <c r="AD14" s="24">
        <f t="shared" si="10"/>
        <v>3</v>
      </c>
      <c r="AE14" s="24">
        <f t="shared" si="11"/>
        <v>0</v>
      </c>
      <c r="AF14" s="24">
        <f t="shared" si="12"/>
        <v>1</v>
      </c>
      <c r="AG14" s="24">
        <f t="shared" si="13"/>
        <v>0</v>
      </c>
      <c r="AH14" s="24">
        <f t="shared" si="14"/>
        <v>1</v>
      </c>
      <c r="AI14" s="24">
        <f t="shared" si="15"/>
        <v>1</v>
      </c>
      <c r="AJ14" s="24">
        <f t="shared" si="16"/>
        <v>1</v>
      </c>
      <c r="AK14" s="24">
        <f t="shared" si="17"/>
        <v>0.5</v>
      </c>
      <c r="AL14" s="24">
        <f t="shared" si="18"/>
        <v>0.5</v>
      </c>
      <c r="AM14" s="24">
        <f t="shared" si="19"/>
        <v>0</v>
      </c>
      <c r="AN14" s="24">
        <f t="shared" si="20"/>
        <v>4</v>
      </c>
      <c r="AO14" s="23">
        <f t="shared" si="22"/>
        <v>29</v>
      </c>
      <c r="AP14" s="24">
        <f t="shared" si="21"/>
        <v>25</v>
      </c>
    </row>
    <row r="15" spans="1:44" x14ac:dyDescent="0.25">
      <c r="A15" t="s">
        <v>265</v>
      </c>
      <c r="B15" t="s">
        <v>270</v>
      </c>
      <c r="C15" t="s">
        <v>266</v>
      </c>
      <c r="D15" s="5">
        <v>21000</v>
      </c>
      <c r="E15">
        <v>38</v>
      </c>
      <c r="F15">
        <v>0.1</v>
      </c>
      <c r="G15">
        <v>16</v>
      </c>
      <c r="H15">
        <v>6</v>
      </c>
      <c r="I15">
        <v>967.5</v>
      </c>
      <c r="J15">
        <v>1</v>
      </c>
      <c r="K15" t="s">
        <v>305</v>
      </c>
      <c r="L15" s="5" cm="1">
        <f t="array" ref="L15">INDEX(DataValidation!$B$2:$B$11, _xlfn.XMATCH(K15, DataValidation!$A$2:$A$11))</f>
        <v>3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2</v>
      </c>
      <c r="W15" s="23">
        <f t="shared" si="3"/>
        <v>3.8666666666666667</v>
      </c>
      <c r="X15" s="24">
        <f t="shared" si="4"/>
        <v>2.48</v>
      </c>
      <c r="Y15" s="24">
        <f t="shared" si="5"/>
        <v>0</v>
      </c>
      <c r="Z15" s="24">
        <f t="shared" si="6"/>
        <v>3.2</v>
      </c>
      <c r="AA15" s="24">
        <f t="shared" si="7"/>
        <v>3</v>
      </c>
      <c r="AB15" s="24">
        <f t="shared" si="8"/>
        <v>3.2250000000000001</v>
      </c>
      <c r="AC15" s="24">
        <f t="shared" si="9"/>
        <v>1</v>
      </c>
      <c r="AD15" s="24">
        <f t="shared" si="10"/>
        <v>3</v>
      </c>
      <c r="AE15" s="24">
        <f t="shared" si="11"/>
        <v>0</v>
      </c>
      <c r="AF15" s="24">
        <f t="shared" si="12"/>
        <v>1</v>
      </c>
      <c r="AG15" s="24">
        <f t="shared" si="13"/>
        <v>0</v>
      </c>
      <c r="AH15" s="24">
        <f t="shared" si="14"/>
        <v>1</v>
      </c>
      <c r="AI15" s="24">
        <f t="shared" si="15"/>
        <v>1</v>
      </c>
      <c r="AJ15" s="24">
        <f t="shared" si="16"/>
        <v>1</v>
      </c>
      <c r="AK15" s="24">
        <f t="shared" si="17"/>
        <v>0.5</v>
      </c>
      <c r="AL15" s="24">
        <f t="shared" si="18"/>
        <v>0.5</v>
      </c>
      <c r="AM15" s="24">
        <f t="shared" si="19"/>
        <v>0</v>
      </c>
      <c r="AN15" s="24">
        <f t="shared" si="20"/>
        <v>4</v>
      </c>
      <c r="AO15" s="23">
        <f t="shared" si="22"/>
        <v>28.8</v>
      </c>
      <c r="AP15" s="24">
        <f t="shared" si="21"/>
        <v>24.9</v>
      </c>
    </row>
    <row r="16" spans="1:44" x14ac:dyDescent="0.25">
      <c r="A16" t="s">
        <v>265</v>
      </c>
      <c r="B16" t="s">
        <v>271</v>
      </c>
      <c r="C16" t="s">
        <v>266</v>
      </c>
      <c r="D16" s="5">
        <v>30000</v>
      </c>
      <c r="E16">
        <v>63</v>
      </c>
      <c r="F16">
        <v>0.1</v>
      </c>
      <c r="G16">
        <v>20</v>
      </c>
      <c r="H16">
        <v>6</v>
      </c>
      <c r="I16">
        <v>1650</v>
      </c>
      <c r="J16">
        <v>1</v>
      </c>
      <c r="K16" t="s">
        <v>305</v>
      </c>
      <c r="L16" s="5" cm="1">
        <f t="array" ref="L16">INDEX(DataValidation!$B$2:$B$11, _xlfn.XMATCH(K16, DataValidation!$A$2:$A$11))</f>
        <v>3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2</v>
      </c>
      <c r="W16" s="23">
        <f t="shared" si="3"/>
        <v>2.666666666666667</v>
      </c>
      <c r="X16" s="24">
        <f t="shared" si="4"/>
        <v>1.48</v>
      </c>
      <c r="Y16" s="24">
        <f t="shared" si="5"/>
        <v>0</v>
      </c>
      <c r="Z16" s="24">
        <f t="shared" si="6"/>
        <v>4</v>
      </c>
      <c r="AA16" s="24">
        <f t="shared" si="7"/>
        <v>3</v>
      </c>
      <c r="AB16" s="24">
        <f t="shared" si="8"/>
        <v>5.5</v>
      </c>
      <c r="AC16" s="24">
        <f t="shared" si="9"/>
        <v>1</v>
      </c>
      <c r="AD16" s="24">
        <f t="shared" si="10"/>
        <v>3</v>
      </c>
      <c r="AE16" s="24">
        <f t="shared" si="11"/>
        <v>0</v>
      </c>
      <c r="AF16" s="24">
        <f t="shared" si="12"/>
        <v>1</v>
      </c>
      <c r="AG16" s="24">
        <f t="shared" si="13"/>
        <v>0</v>
      </c>
      <c r="AH16" s="24">
        <f t="shared" si="14"/>
        <v>1</v>
      </c>
      <c r="AI16" s="24">
        <f t="shared" si="15"/>
        <v>1</v>
      </c>
      <c r="AJ16" s="24">
        <f t="shared" si="16"/>
        <v>1</v>
      </c>
      <c r="AK16" s="24">
        <f t="shared" si="17"/>
        <v>0.5</v>
      </c>
      <c r="AL16" s="24">
        <f t="shared" si="18"/>
        <v>0.5</v>
      </c>
      <c r="AM16" s="24">
        <f t="shared" si="19"/>
        <v>0</v>
      </c>
      <c r="AN16" s="24">
        <f t="shared" si="20"/>
        <v>4</v>
      </c>
      <c r="AO16" s="23">
        <f t="shared" si="22"/>
        <v>29.6</v>
      </c>
      <c r="AP16" s="24">
        <f t="shared" si="21"/>
        <v>27</v>
      </c>
    </row>
    <row r="17" spans="1:42" x14ac:dyDescent="0.25">
      <c r="A17" t="s">
        <v>272</v>
      </c>
      <c r="B17" t="s">
        <v>273</v>
      </c>
      <c r="C17" t="s">
        <v>266</v>
      </c>
      <c r="E17">
        <v>46</v>
      </c>
      <c r="F17">
        <v>0.02</v>
      </c>
      <c r="G17">
        <v>8</v>
      </c>
      <c r="H17">
        <v>4</v>
      </c>
      <c r="I17">
        <v>1793</v>
      </c>
      <c r="J17">
        <v>1</v>
      </c>
      <c r="K17" t="s">
        <v>258</v>
      </c>
      <c r="L17" s="5" cm="1">
        <f t="array" ref="L17">INDEX(DataValidation!$B$2:$B$11, _xlfn.XMATCH(K17, DataValidation!$A$2:$A$11))</f>
        <v>2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2</v>
      </c>
      <c r="W17" s="23">
        <f t="shared" si="3"/>
        <v>0</v>
      </c>
      <c r="X17" s="24">
        <f t="shared" si="4"/>
        <v>2.16</v>
      </c>
      <c r="Y17" s="24">
        <f t="shared" si="5"/>
        <v>1.6</v>
      </c>
      <c r="Z17" s="24">
        <f t="shared" si="6"/>
        <v>1.6</v>
      </c>
      <c r="AA17" s="24">
        <f t="shared" si="7"/>
        <v>2</v>
      </c>
      <c r="AB17" s="24">
        <f t="shared" si="8"/>
        <v>5.9766666666666675</v>
      </c>
      <c r="AC17" s="24">
        <f t="shared" si="9"/>
        <v>1</v>
      </c>
      <c r="AD17" s="24">
        <f t="shared" si="10"/>
        <v>2</v>
      </c>
      <c r="AE17" s="24">
        <f t="shared" si="11"/>
        <v>0</v>
      </c>
      <c r="AF17" s="24">
        <f t="shared" si="12"/>
        <v>1</v>
      </c>
      <c r="AG17" s="24">
        <f t="shared" si="13"/>
        <v>0</v>
      </c>
      <c r="AH17" s="24">
        <f t="shared" si="14"/>
        <v>1</v>
      </c>
      <c r="AI17" s="24">
        <f t="shared" si="15"/>
        <v>1</v>
      </c>
      <c r="AJ17" s="24">
        <f t="shared" si="16"/>
        <v>1</v>
      </c>
      <c r="AK17" s="24">
        <f t="shared" si="17"/>
        <v>0</v>
      </c>
      <c r="AL17" s="24">
        <f t="shared" si="18"/>
        <v>0.5</v>
      </c>
      <c r="AM17" s="24">
        <f t="shared" si="19"/>
        <v>0</v>
      </c>
      <c r="AN17" s="24">
        <f t="shared" si="20"/>
        <v>4</v>
      </c>
      <c r="AO17" s="23">
        <f t="shared" si="22"/>
        <v>24.8</v>
      </c>
      <c r="AP17" s="24">
        <f t="shared" si="21"/>
        <v>24.8</v>
      </c>
    </row>
    <row r="18" spans="1:42" x14ac:dyDescent="0.25">
      <c r="A18" t="s">
        <v>272</v>
      </c>
      <c r="B18" t="s">
        <v>274</v>
      </c>
      <c r="C18" t="s">
        <v>266</v>
      </c>
      <c r="E18">
        <v>46</v>
      </c>
      <c r="F18">
        <v>0.02</v>
      </c>
      <c r="G18">
        <v>6</v>
      </c>
      <c r="H18">
        <v>6</v>
      </c>
      <c r="I18">
        <v>1793</v>
      </c>
      <c r="J18">
        <v>1</v>
      </c>
      <c r="K18" t="s">
        <v>258</v>
      </c>
      <c r="L18" s="5" cm="1">
        <f t="array" ref="L18">INDEX(DataValidation!$B$2:$B$11, _xlfn.XMATCH(K18, DataValidation!$A$2:$A$11))</f>
        <v>2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0</v>
      </c>
      <c r="V18">
        <v>2</v>
      </c>
      <c r="W18" s="23">
        <f t="shared" si="3"/>
        <v>0</v>
      </c>
      <c r="X18" s="24">
        <f t="shared" si="4"/>
        <v>2.16</v>
      </c>
      <c r="Y18" s="24">
        <f t="shared" si="5"/>
        <v>1.6</v>
      </c>
      <c r="Z18" s="24">
        <f t="shared" si="6"/>
        <v>1.2000000000000002</v>
      </c>
      <c r="AA18" s="24">
        <f t="shared" si="7"/>
        <v>3</v>
      </c>
      <c r="AB18" s="24">
        <f t="shared" si="8"/>
        <v>5.9766666666666675</v>
      </c>
      <c r="AC18" s="24">
        <f t="shared" si="9"/>
        <v>1</v>
      </c>
      <c r="AD18" s="24">
        <f t="shared" si="10"/>
        <v>2</v>
      </c>
      <c r="AE18" s="24">
        <f t="shared" si="11"/>
        <v>0</v>
      </c>
      <c r="AF18" s="24">
        <f t="shared" si="12"/>
        <v>1</v>
      </c>
      <c r="AG18" s="24">
        <f t="shared" si="13"/>
        <v>0</v>
      </c>
      <c r="AH18" s="24">
        <f t="shared" si="14"/>
        <v>1</v>
      </c>
      <c r="AI18" s="24">
        <f t="shared" si="15"/>
        <v>1</v>
      </c>
      <c r="AJ18" s="24">
        <f t="shared" si="16"/>
        <v>1</v>
      </c>
      <c r="AK18" s="24">
        <f t="shared" si="17"/>
        <v>0</v>
      </c>
      <c r="AL18" s="24">
        <f t="shared" si="18"/>
        <v>0.5</v>
      </c>
      <c r="AM18" s="24">
        <f t="shared" si="19"/>
        <v>0</v>
      </c>
      <c r="AN18" s="24">
        <f t="shared" si="20"/>
        <v>4</v>
      </c>
      <c r="AO18" s="23">
        <f t="shared" si="22"/>
        <v>25.4</v>
      </c>
      <c r="AP18" s="24">
        <f t="shared" si="21"/>
        <v>25.4</v>
      </c>
    </row>
    <row r="19" spans="1:42" x14ac:dyDescent="0.25">
      <c r="A19" t="s">
        <v>272</v>
      </c>
      <c r="B19" t="s">
        <v>275</v>
      </c>
      <c r="C19" t="s">
        <v>266</v>
      </c>
      <c r="E19">
        <v>20</v>
      </c>
      <c r="F19">
        <v>0.09</v>
      </c>
      <c r="G19">
        <v>3</v>
      </c>
      <c r="H19">
        <v>4</v>
      </c>
      <c r="I19">
        <v>587.76</v>
      </c>
      <c r="J19">
        <v>1</v>
      </c>
      <c r="K19" t="s">
        <v>258</v>
      </c>
      <c r="L19" s="5" cm="1">
        <f t="array" ref="L19">INDEX(DataValidation!$B$2:$B$11, _xlfn.XMATCH(K19, DataValidation!$A$2:$A$11))</f>
        <v>2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2</v>
      </c>
      <c r="W19" s="23">
        <f t="shared" si="3"/>
        <v>0</v>
      </c>
      <c r="X19" s="24">
        <f t="shared" si="4"/>
        <v>3.2</v>
      </c>
      <c r="Y19" s="24">
        <f t="shared" si="5"/>
        <v>0.20000000000000018</v>
      </c>
      <c r="Z19" s="24">
        <f t="shared" si="6"/>
        <v>0.60000000000000009</v>
      </c>
      <c r="AA19" s="24">
        <f t="shared" si="7"/>
        <v>2</v>
      </c>
      <c r="AB19" s="24">
        <f t="shared" si="8"/>
        <v>1.9592000000000001</v>
      </c>
      <c r="AC19" s="24">
        <f t="shared" si="9"/>
        <v>1</v>
      </c>
      <c r="AD19" s="24">
        <f t="shared" si="10"/>
        <v>2</v>
      </c>
      <c r="AE19" s="24">
        <f t="shared" si="11"/>
        <v>0</v>
      </c>
      <c r="AF19" s="24">
        <f t="shared" si="12"/>
        <v>1</v>
      </c>
      <c r="AG19" s="24">
        <f t="shared" si="13"/>
        <v>0</v>
      </c>
      <c r="AH19" s="24">
        <f t="shared" si="14"/>
        <v>1</v>
      </c>
      <c r="AI19" s="24">
        <f t="shared" si="15"/>
        <v>1</v>
      </c>
      <c r="AJ19" s="24">
        <f t="shared" si="16"/>
        <v>1</v>
      </c>
      <c r="AK19" s="24">
        <f t="shared" si="17"/>
        <v>0</v>
      </c>
      <c r="AL19" s="24">
        <f t="shared" si="18"/>
        <v>0.5</v>
      </c>
      <c r="AM19" s="24">
        <f t="shared" si="19"/>
        <v>0</v>
      </c>
      <c r="AN19" s="24">
        <f t="shared" si="20"/>
        <v>4</v>
      </c>
      <c r="AO19" s="23">
        <f t="shared" si="22"/>
        <v>19.5</v>
      </c>
      <c r="AP19" s="24">
        <f t="shared" si="21"/>
        <v>19.5</v>
      </c>
    </row>
    <row r="20" spans="1:42" x14ac:dyDescent="0.25">
      <c r="A20" t="s">
        <v>13</v>
      </c>
      <c r="B20" t="s">
        <v>14</v>
      </c>
      <c r="C20" t="s">
        <v>15</v>
      </c>
      <c r="E20">
        <v>1615</v>
      </c>
      <c r="F20">
        <v>0.1</v>
      </c>
      <c r="G20">
        <v>170</v>
      </c>
      <c r="H20">
        <v>6</v>
      </c>
      <c r="I20">
        <v>2790</v>
      </c>
      <c r="J20">
        <v>1</v>
      </c>
      <c r="K20" t="s">
        <v>294</v>
      </c>
      <c r="L20" s="5" cm="1">
        <f t="array" ref="L20">INDEX(DataValidation!$B$2:$B$11, _xlfn.XMATCH(K20, DataValidation!$A$2:$A$11))</f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1.5</v>
      </c>
      <c r="W20" s="23">
        <f t="shared" si="3"/>
        <v>0</v>
      </c>
      <c r="X20" s="24">
        <f t="shared" si="4"/>
        <v>-60.6</v>
      </c>
      <c r="Y20" s="24">
        <f t="shared" si="5"/>
        <v>0</v>
      </c>
      <c r="Z20" s="24">
        <f t="shared" si="6"/>
        <v>34</v>
      </c>
      <c r="AA20" s="24">
        <f t="shared" si="7"/>
        <v>3</v>
      </c>
      <c r="AB20" s="24">
        <f t="shared" si="8"/>
        <v>9.3000000000000007</v>
      </c>
      <c r="AC20" s="24">
        <f t="shared" si="9"/>
        <v>1</v>
      </c>
      <c r="AD20" s="24">
        <f t="shared" si="10"/>
        <v>1</v>
      </c>
      <c r="AE20" s="24">
        <f t="shared" si="11"/>
        <v>0</v>
      </c>
      <c r="AF20" s="24">
        <f t="shared" si="12"/>
        <v>1</v>
      </c>
      <c r="AG20" s="24">
        <f t="shared" si="13"/>
        <v>0</v>
      </c>
      <c r="AH20" s="24">
        <f t="shared" si="14"/>
        <v>0</v>
      </c>
      <c r="AI20" s="24">
        <f t="shared" si="15"/>
        <v>1</v>
      </c>
      <c r="AJ20" s="24">
        <f t="shared" si="16"/>
        <v>0</v>
      </c>
      <c r="AK20" s="24">
        <f t="shared" si="17"/>
        <v>0</v>
      </c>
      <c r="AL20" s="24">
        <f t="shared" si="18"/>
        <v>0</v>
      </c>
      <c r="AM20" s="24">
        <f t="shared" si="19"/>
        <v>0</v>
      </c>
      <c r="AN20" s="24">
        <f t="shared" si="20"/>
        <v>3</v>
      </c>
      <c r="AO20" s="23">
        <f t="shared" si="22"/>
        <v>-7.3</v>
      </c>
      <c r="AP20" s="24">
        <f t="shared" si="21"/>
        <v>-7.3</v>
      </c>
    </row>
    <row r="21" spans="1:42" x14ac:dyDescent="0.25">
      <c r="A21" t="s">
        <v>13</v>
      </c>
      <c r="B21" t="s">
        <v>17</v>
      </c>
      <c r="C21" t="s">
        <v>15</v>
      </c>
      <c r="E21">
        <v>34</v>
      </c>
      <c r="F21">
        <v>0.03</v>
      </c>
      <c r="G21">
        <v>5</v>
      </c>
      <c r="H21">
        <v>6</v>
      </c>
      <c r="I21">
        <v>809</v>
      </c>
      <c r="J21">
        <v>1</v>
      </c>
      <c r="K21" t="s">
        <v>294</v>
      </c>
      <c r="L21" s="5" cm="1">
        <f t="array" ref="L21">INDEX(DataValidation!$B$2:$B$11, _xlfn.XMATCH(K21, DataValidation!$A$2:$A$11))</f>
        <v>1</v>
      </c>
      <c r="M21">
        <v>0</v>
      </c>
      <c r="N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2</v>
      </c>
      <c r="W21" s="23">
        <f t="shared" si="3"/>
        <v>0</v>
      </c>
      <c r="X21" s="24">
        <f t="shared" si="4"/>
        <v>2.64</v>
      </c>
      <c r="Y21" s="24">
        <f t="shared" si="5"/>
        <v>1.4000000000000001</v>
      </c>
      <c r="Z21" s="24">
        <f t="shared" si="6"/>
        <v>1</v>
      </c>
      <c r="AA21" s="24">
        <f t="shared" si="7"/>
        <v>3</v>
      </c>
      <c r="AB21" s="24">
        <f t="shared" si="8"/>
        <v>2.6966666666666668</v>
      </c>
      <c r="AC21" s="24">
        <f t="shared" si="9"/>
        <v>1</v>
      </c>
      <c r="AD21" s="24">
        <f t="shared" si="10"/>
        <v>1</v>
      </c>
      <c r="AE21" s="24">
        <f t="shared" si="11"/>
        <v>0</v>
      </c>
      <c r="AF21" s="24">
        <f t="shared" si="12"/>
        <v>1</v>
      </c>
      <c r="AG21" s="24">
        <f t="shared" si="13"/>
        <v>0</v>
      </c>
      <c r="AH21" s="24">
        <f t="shared" si="14"/>
        <v>1</v>
      </c>
      <c r="AI21" s="24">
        <f t="shared" si="15"/>
        <v>1</v>
      </c>
      <c r="AJ21" s="24">
        <f t="shared" si="16"/>
        <v>0</v>
      </c>
      <c r="AK21" s="24">
        <f t="shared" si="17"/>
        <v>0</v>
      </c>
      <c r="AL21" s="24">
        <f t="shared" si="18"/>
        <v>0</v>
      </c>
      <c r="AM21" s="24">
        <f t="shared" si="19"/>
        <v>0</v>
      </c>
      <c r="AN21" s="24">
        <f t="shared" si="20"/>
        <v>4</v>
      </c>
      <c r="AO21" s="23">
        <f t="shared" si="22"/>
        <v>19.7</v>
      </c>
      <c r="AP21" s="24">
        <f t="shared" si="21"/>
        <v>19.7</v>
      </c>
    </row>
    <row r="22" spans="1:42" x14ac:dyDescent="0.25">
      <c r="A22" t="s">
        <v>276</v>
      </c>
      <c r="B22" t="s">
        <v>277</v>
      </c>
      <c r="C22" t="s">
        <v>283</v>
      </c>
      <c r="D22" s="5">
        <v>26900</v>
      </c>
      <c r="E22">
        <v>24</v>
      </c>
      <c r="F22">
        <v>0.02</v>
      </c>
      <c r="G22">
        <v>6</v>
      </c>
      <c r="H22">
        <v>6</v>
      </c>
      <c r="I22">
        <v>800</v>
      </c>
      <c r="J22">
        <v>1</v>
      </c>
      <c r="K22" t="s">
        <v>258</v>
      </c>
      <c r="L22" s="5" cm="1">
        <f t="array" ref="L22">INDEX(DataValidation!$B$2:$B$11, _xlfn.XMATCH(K22, DataValidation!$A$2:$A$11))</f>
        <v>2</v>
      </c>
      <c r="M22">
        <v>0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2</v>
      </c>
      <c r="W22" s="23">
        <f t="shared" si="3"/>
        <v>3.08</v>
      </c>
      <c r="X22" s="24">
        <f t="shared" si="4"/>
        <v>3.04</v>
      </c>
      <c r="Y22" s="24">
        <f t="shared" si="5"/>
        <v>1.6</v>
      </c>
      <c r="Z22" s="24">
        <f t="shared" si="6"/>
        <v>1.2000000000000002</v>
      </c>
      <c r="AA22" s="24">
        <f t="shared" si="7"/>
        <v>3</v>
      </c>
      <c r="AB22" s="24">
        <f t="shared" si="8"/>
        <v>2.666666666666667</v>
      </c>
      <c r="AC22" s="24">
        <f t="shared" si="9"/>
        <v>1</v>
      </c>
      <c r="AD22" s="24">
        <f t="shared" si="10"/>
        <v>2</v>
      </c>
      <c r="AE22" s="24">
        <f t="shared" si="11"/>
        <v>0</v>
      </c>
      <c r="AF22" s="24">
        <f t="shared" si="12"/>
        <v>1</v>
      </c>
      <c r="AG22" s="24">
        <f t="shared" si="13"/>
        <v>1</v>
      </c>
      <c r="AH22" s="24">
        <f t="shared" si="14"/>
        <v>1</v>
      </c>
      <c r="AI22" s="24">
        <f t="shared" si="15"/>
        <v>1</v>
      </c>
      <c r="AJ22" s="24">
        <f t="shared" si="16"/>
        <v>1</v>
      </c>
      <c r="AK22" s="24">
        <f t="shared" si="17"/>
        <v>0</v>
      </c>
      <c r="AL22" s="24">
        <f t="shared" si="18"/>
        <v>0</v>
      </c>
      <c r="AM22" s="24">
        <f t="shared" si="19"/>
        <v>0</v>
      </c>
      <c r="AN22" s="24">
        <f t="shared" si="20"/>
        <v>4</v>
      </c>
      <c r="AO22" s="23">
        <f t="shared" si="22"/>
        <v>26.6</v>
      </c>
      <c r="AP22" s="24">
        <f t="shared" si="21"/>
        <v>23.5</v>
      </c>
    </row>
    <row r="23" spans="1:42" x14ac:dyDescent="0.25">
      <c r="A23" t="s">
        <v>276</v>
      </c>
      <c r="B23" t="s">
        <v>278</v>
      </c>
      <c r="C23" t="s">
        <v>283</v>
      </c>
      <c r="D23" s="5">
        <v>31900</v>
      </c>
      <c r="E23">
        <v>40</v>
      </c>
      <c r="F23">
        <v>0.02</v>
      </c>
      <c r="G23">
        <v>8</v>
      </c>
      <c r="H23">
        <v>6</v>
      </c>
      <c r="I23">
        <v>1300</v>
      </c>
      <c r="J23">
        <v>1</v>
      </c>
      <c r="K23" t="s">
        <v>258</v>
      </c>
      <c r="L23" s="5" cm="1">
        <f t="array" ref="L23">INDEX(DataValidation!$B$2:$B$11, _xlfn.XMATCH(K23, DataValidation!$A$2:$A$11))</f>
        <v>2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2</v>
      </c>
      <c r="W23" s="23">
        <f t="shared" si="3"/>
        <v>2.4133333333333336</v>
      </c>
      <c r="X23" s="24">
        <f t="shared" si="4"/>
        <v>2.4</v>
      </c>
      <c r="Y23" s="24">
        <f t="shared" si="5"/>
        <v>1.6</v>
      </c>
      <c r="Z23" s="24">
        <f t="shared" si="6"/>
        <v>1.6</v>
      </c>
      <c r="AA23" s="24">
        <f t="shared" si="7"/>
        <v>3</v>
      </c>
      <c r="AB23" s="24">
        <f t="shared" si="8"/>
        <v>4.3333333333333339</v>
      </c>
      <c r="AC23" s="24">
        <f t="shared" si="9"/>
        <v>1</v>
      </c>
      <c r="AD23" s="24">
        <f t="shared" si="10"/>
        <v>2</v>
      </c>
      <c r="AE23" s="24">
        <f t="shared" si="11"/>
        <v>0</v>
      </c>
      <c r="AF23" s="24">
        <f t="shared" si="12"/>
        <v>1</v>
      </c>
      <c r="AG23" s="24">
        <f t="shared" si="13"/>
        <v>1</v>
      </c>
      <c r="AH23" s="24">
        <f t="shared" si="14"/>
        <v>1</v>
      </c>
      <c r="AI23" s="24">
        <f t="shared" si="15"/>
        <v>1</v>
      </c>
      <c r="AJ23" s="24">
        <f t="shared" si="16"/>
        <v>1</v>
      </c>
      <c r="AK23" s="24">
        <f t="shared" si="17"/>
        <v>0</v>
      </c>
      <c r="AL23" s="24">
        <f t="shared" si="18"/>
        <v>0</v>
      </c>
      <c r="AM23" s="24">
        <f t="shared" si="19"/>
        <v>0</v>
      </c>
      <c r="AN23" s="24">
        <f t="shared" si="20"/>
        <v>4</v>
      </c>
      <c r="AO23" s="23">
        <f t="shared" si="22"/>
        <v>27.3</v>
      </c>
      <c r="AP23" s="24">
        <f t="shared" si="21"/>
        <v>24.9</v>
      </c>
    </row>
    <row r="24" spans="1:42" x14ac:dyDescent="0.25">
      <c r="A24" t="s">
        <v>276</v>
      </c>
      <c r="B24" t="s">
        <v>279</v>
      </c>
      <c r="C24" t="s">
        <v>283</v>
      </c>
      <c r="D24" s="5">
        <v>33900</v>
      </c>
      <c r="E24">
        <v>39</v>
      </c>
      <c r="F24">
        <v>0.02</v>
      </c>
      <c r="G24">
        <v>10</v>
      </c>
      <c r="H24">
        <v>6</v>
      </c>
      <c r="I24">
        <v>1200</v>
      </c>
      <c r="J24">
        <v>1</v>
      </c>
      <c r="K24" t="s">
        <v>258</v>
      </c>
      <c r="L24" s="5" cm="1">
        <f t="array" ref="L24">INDEX(DataValidation!$B$2:$B$11, _xlfn.XMATCH(K24, DataValidation!$A$2:$A$11))</f>
        <v>2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2</v>
      </c>
      <c r="W24" s="23">
        <f t="shared" si="3"/>
        <v>2.1466666666666669</v>
      </c>
      <c r="X24" s="24">
        <f t="shared" si="4"/>
        <v>2.44</v>
      </c>
      <c r="Y24" s="24">
        <f t="shared" si="5"/>
        <v>1.6</v>
      </c>
      <c r="Z24" s="24">
        <f t="shared" si="6"/>
        <v>2</v>
      </c>
      <c r="AA24" s="24">
        <f t="shared" si="7"/>
        <v>3</v>
      </c>
      <c r="AB24" s="24">
        <f t="shared" si="8"/>
        <v>4</v>
      </c>
      <c r="AC24" s="24">
        <f t="shared" si="9"/>
        <v>1</v>
      </c>
      <c r="AD24" s="24">
        <f t="shared" si="10"/>
        <v>2</v>
      </c>
      <c r="AE24" s="24">
        <f t="shared" si="11"/>
        <v>0</v>
      </c>
      <c r="AF24" s="24">
        <f t="shared" si="12"/>
        <v>1</v>
      </c>
      <c r="AG24" s="24">
        <f t="shared" si="13"/>
        <v>1</v>
      </c>
      <c r="AH24" s="24">
        <f t="shared" si="14"/>
        <v>1</v>
      </c>
      <c r="AI24" s="24">
        <f t="shared" si="15"/>
        <v>1</v>
      </c>
      <c r="AJ24" s="24">
        <f t="shared" si="16"/>
        <v>1</v>
      </c>
      <c r="AK24" s="24">
        <f t="shared" si="17"/>
        <v>0</v>
      </c>
      <c r="AL24" s="24">
        <f t="shared" si="18"/>
        <v>0</v>
      </c>
      <c r="AM24" s="24">
        <f t="shared" si="19"/>
        <v>0</v>
      </c>
      <c r="AN24" s="24">
        <f t="shared" si="20"/>
        <v>4</v>
      </c>
      <c r="AO24" s="23">
        <f t="shared" si="22"/>
        <v>27.2</v>
      </c>
      <c r="AP24" s="24">
        <f t="shared" si="21"/>
        <v>25</v>
      </c>
    </row>
    <row r="25" spans="1:42" x14ac:dyDescent="0.25">
      <c r="A25" t="s">
        <v>276</v>
      </c>
      <c r="B25" t="s">
        <v>280</v>
      </c>
      <c r="C25" t="s">
        <v>283</v>
      </c>
      <c r="D25" s="5">
        <v>38900</v>
      </c>
      <c r="E25">
        <v>70</v>
      </c>
      <c r="F25">
        <v>0.02</v>
      </c>
      <c r="G25">
        <v>16</v>
      </c>
      <c r="H25">
        <v>6</v>
      </c>
      <c r="I25">
        <v>1600</v>
      </c>
      <c r="J25">
        <v>1</v>
      </c>
      <c r="K25" t="s">
        <v>258</v>
      </c>
      <c r="L25" s="5" cm="1">
        <f t="array" ref="L25">INDEX(DataValidation!$B$2:$B$11, _xlfn.XMATCH(K25, DataValidation!$A$2:$A$11))</f>
        <v>2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2</v>
      </c>
      <c r="W25" s="23">
        <f t="shared" si="3"/>
        <v>1.48</v>
      </c>
      <c r="X25" s="24">
        <f t="shared" si="4"/>
        <v>1.2</v>
      </c>
      <c r="Y25" s="24">
        <f t="shared" si="5"/>
        <v>1.6</v>
      </c>
      <c r="Z25" s="24">
        <f t="shared" si="6"/>
        <v>3.2</v>
      </c>
      <c r="AA25" s="24">
        <f t="shared" si="7"/>
        <v>3</v>
      </c>
      <c r="AB25" s="24">
        <f t="shared" si="8"/>
        <v>5.3333333333333339</v>
      </c>
      <c r="AC25" s="24">
        <f t="shared" si="9"/>
        <v>1</v>
      </c>
      <c r="AD25" s="24">
        <f t="shared" si="10"/>
        <v>2</v>
      </c>
      <c r="AE25" s="24">
        <f t="shared" si="11"/>
        <v>0</v>
      </c>
      <c r="AF25" s="24">
        <f t="shared" si="12"/>
        <v>1</v>
      </c>
      <c r="AG25" s="24">
        <f t="shared" si="13"/>
        <v>1</v>
      </c>
      <c r="AH25" s="24">
        <f t="shared" si="14"/>
        <v>1</v>
      </c>
      <c r="AI25" s="24">
        <f t="shared" si="15"/>
        <v>1</v>
      </c>
      <c r="AJ25" s="24">
        <f t="shared" si="16"/>
        <v>1</v>
      </c>
      <c r="AK25" s="24">
        <f t="shared" si="17"/>
        <v>0</v>
      </c>
      <c r="AL25" s="24">
        <f t="shared" si="18"/>
        <v>0</v>
      </c>
      <c r="AM25" s="24">
        <f t="shared" si="19"/>
        <v>0</v>
      </c>
      <c r="AN25" s="24">
        <f t="shared" si="20"/>
        <v>4</v>
      </c>
      <c r="AO25" s="23">
        <f t="shared" si="22"/>
        <v>27.8</v>
      </c>
      <c r="AP25" s="24">
        <f t="shared" si="21"/>
        <v>26.3</v>
      </c>
    </row>
    <row r="26" spans="1:42" x14ac:dyDescent="0.25">
      <c r="A26" t="s">
        <v>276</v>
      </c>
      <c r="B26" t="s">
        <v>281</v>
      </c>
      <c r="C26" t="s">
        <v>283</v>
      </c>
      <c r="D26" s="5">
        <v>47900</v>
      </c>
      <c r="E26">
        <v>101</v>
      </c>
      <c r="F26">
        <v>0.02</v>
      </c>
      <c r="G26">
        <v>20</v>
      </c>
      <c r="H26">
        <v>6</v>
      </c>
      <c r="I26">
        <v>1800</v>
      </c>
      <c r="J26">
        <v>1</v>
      </c>
      <c r="K26" t="s">
        <v>258</v>
      </c>
      <c r="L26" s="5" cm="1">
        <f t="array" ref="L26">INDEX(DataValidation!$B$2:$B$11, _xlfn.XMATCH(K26, DataValidation!$A$2:$A$11))</f>
        <v>2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2</v>
      </c>
      <c r="W26" s="23">
        <f t="shared" si="3"/>
        <v>0.28000000000000003</v>
      </c>
      <c r="X26" s="24">
        <f t="shared" si="4"/>
        <v>-0.04</v>
      </c>
      <c r="Y26" s="24">
        <f t="shared" si="5"/>
        <v>1.6</v>
      </c>
      <c r="Z26" s="24">
        <f t="shared" si="6"/>
        <v>4</v>
      </c>
      <c r="AA26" s="24">
        <f t="shared" si="7"/>
        <v>3</v>
      </c>
      <c r="AB26" s="24">
        <f t="shared" si="8"/>
        <v>6</v>
      </c>
      <c r="AC26" s="24">
        <f t="shared" si="9"/>
        <v>1</v>
      </c>
      <c r="AD26" s="24">
        <f t="shared" si="10"/>
        <v>2</v>
      </c>
      <c r="AE26" s="24">
        <f t="shared" si="11"/>
        <v>0</v>
      </c>
      <c r="AF26" s="24">
        <f t="shared" si="12"/>
        <v>1</v>
      </c>
      <c r="AG26" s="24">
        <f t="shared" si="13"/>
        <v>1</v>
      </c>
      <c r="AH26" s="24">
        <f t="shared" si="14"/>
        <v>1</v>
      </c>
      <c r="AI26" s="24">
        <f t="shared" si="15"/>
        <v>1</v>
      </c>
      <c r="AJ26" s="24">
        <f t="shared" si="16"/>
        <v>1</v>
      </c>
      <c r="AK26" s="24">
        <f t="shared" si="17"/>
        <v>0</v>
      </c>
      <c r="AL26" s="24">
        <f t="shared" si="18"/>
        <v>0</v>
      </c>
      <c r="AM26" s="24">
        <f t="shared" si="19"/>
        <v>0</v>
      </c>
      <c r="AN26" s="24">
        <f t="shared" si="20"/>
        <v>4</v>
      </c>
      <c r="AO26" s="23">
        <f t="shared" si="22"/>
        <v>26.8</v>
      </c>
      <c r="AP26" s="24">
        <f t="shared" si="21"/>
        <v>26.6</v>
      </c>
    </row>
    <row r="27" spans="1:42" x14ac:dyDescent="0.25">
      <c r="A27" t="s">
        <v>276</v>
      </c>
      <c r="B27" t="s">
        <v>282</v>
      </c>
      <c r="C27" t="s">
        <v>283</v>
      </c>
      <c r="D27" s="5">
        <v>52900</v>
      </c>
      <c r="E27">
        <v>98</v>
      </c>
      <c r="F27">
        <v>0.02</v>
      </c>
      <c r="G27">
        <v>30</v>
      </c>
      <c r="H27">
        <v>6</v>
      </c>
      <c r="I27">
        <v>1300</v>
      </c>
      <c r="J27">
        <v>1</v>
      </c>
      <c r="K27" t="s">
        <v>258</v>
      </c>
      <c r="L27" s="5" cm="1">
        <f t="array" ref="L27">INDEX(DataValidation!$B$2:$B$11, _xlfn.XMATCH(K27, DataValidation!$A$2:$A$11))</f>
        <v>2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2</v>
      </c>
      <c r="W27" s="23">
        <f t="shared" si="3"/>
        <v>-0.38666666666666666</v>
      </c>
      <c r="X27" s="24">
        <f t="shared" si="4"/>
        <v>0.08</v>
      </c>
      <c r="Y27" s="24">
        <f t="shared" si="5"/>
        <v>1.6</v>
      </c>
      <c r="Z27" s="24">
        <f t="shared" si="6"/>
        <v>6</v>
      </c>
      <c r="AA27" s="24">
        <f t="shared" si="7"/>
        <v>3</v>
      </c>
      <c r="AB27" s="24">
        <f t="shared" si="8"/>
        <v>4.3333333333333339</v>
      </c>
      <c r="AC27" s="24">
        <f t="shared" si="9"/>
        <v>1</v>
      </c>
      <c r="AD27" s="24">
        <f t="shared" si="10"/>
        <v>2</v>
      </c>
      <c r="AE27" s="24">
        <f t="shared" si="11"/>
        <v>0</v>
      </c>
      <c r="AF27" s="24">
        <f t="shared" si="12"/>
        <v>1</v>
      </c>
      <c r="AG27" s="24">
        <f t="shared" si="13"/>
        <v>1</v>
      </c>
      <c r="AH27" s="24">
        <f t="shared" si="14"/>
        <v>1</v>
      </c>
      <c r="AI27" s="24">
        <f t="shared" si="15"/>
        <v>1</v>
      </c>
      <c r="AJ27" s="24">
        <f t="shared" si="16"/>
        <v>1</v>
      </c>
      <c r="AK27" s="24">
        <f t="shared" si="17"/>
        <v>0</v>
      </c>
      <c r="AL27" s="24">
        <f t="shared" si="18"/>
        <v>0</v>
      </c>
      <c r="AM27" s="24">
        <f t="shared" si="19"/>
        <v>0</v>
      </c>
      <c r="AN27" s="24">
        <f t="shared" si="20"/>
        <v>4</v>
      </c>
      <c r="AO27" s="23">
        <f t="shared" si="22"/>
        <v>26.6</v>
      </c>
      <c r="AP27" s="24">
        <f t="shared" si="21"/>
        <v>27</v>
      </c>
    </row>
    <row r="28" spans="1:42" x14ac:dyDescent="0.25">
      <c r="A28" t="s">
        <v>284</v>
      </c>
      <c r="B28" t="s">
        <v>285</v>
      </c>
      <c r="C28" t="s">
        <v>54</v>
      </c>
      <c r="D28" s="5">
        <v>14800</v>
      </c>
      <c r="E28">
        <v>4</v>
      </c>
      <c r="F28">
        <v>0.05</v>
      </c>
      <c r="G28">
        <v>0.5</v>
      </c>
      <c r="H28">
        <v>6</v>
      </c>
      <c r="I28">
        <v>343</v>
      </c>
      <c r="J28">
        <v>1</v>
      </c>
      <c r="K28" t="s">
        <v>304</v>
      </c>
      <c r="L28" s="5" cm="1">
        <f t="array" ref="L28">INDEX(DataValidation!$B$2:$B$11, _xlfn.XMATCH(K28, DataValidation!$A$2:$A$11))</f>
        <v>3</v>
      </c>
      <c r="M28">
        <v>0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2</v>
      </c>
      <c r="W28" s="23">
        <f t="shared" si="3"/>
        <v>4.6933333333333334</v>
      </c>
      <c r="X28" s="24">
        <f t="shared" si="4"/>
        <v>3.84</v>
      </c>
      <c r="Y28" s="24">
        <f t="shared" si="5"/>
        <v>1</v>
      </c>
      <c r="Z28" s="24">
        <f t="shared" si="6"/>
        <v>0.1</v>
      </c>
      <c r="AA28" s="24">
        <f t="shared" si="7"/>
        <v>3</v>
      </c>
      <c r="AB28" s="24">
        <f t="shared" si="8"/>
        <v>1.1433333333333333</v>
      </c>
      <c r="AC28" s="24">
        <f t="shared" si="9"/>
        <v>1</v>
      </c>
      <c r="AD28" s="24">
        <f t="shared" si="10"/>
        <v>3</v>
      </c>
      <c r="AE28" s="24">
        <f t="shared" si="11"/>
        <v>0</v>
      </c>
      <c r="AF28" s="24">
        <f t="shared" si="12"/>
        <v>1</v>
      </c>
      <c r="AG28" s="24">
        <f t="shared" si="13"/>
        <v>0</v>
      </c>
      <c r="AH28" s="24">
        <f t="shared" si="14"/>
        <v>1</v>
      </c>
      <c r="AI28" s="24">
        <f t="shared" si="15"/>
        <v>1</v>
      </c>
      <c r="AJ28" s="24">
        <f t="shared" si="16"/>
        <v>0</v>
      </c>
      <c r="AK28" s="24">
        <f t="shared" si="17"/>
        <v>0</v>
      </c>
      <c r="AL28" s="24">
        <f t="shared" si="18"/>
        <v>0</v>
      </c>
      <c r="AM28" s="24">
        <f t="shared" si="19"/>
        <v>0</v>
      </c>
      <c r="AN28" s="24">
        <f t="shared" si="20"/>
        <v>4</v>
      </c>
      <c r="AO28" s="23">
        <f t="shared" si="22"/>
        <v>24.8</v>
      </c>
      <c r="AP28" s="24">
        <f t="shared" si="21"/>
        <v>20.100000000000001</v>
      </c>
    </row>
    <row r="29" spans="1:42" x14ac:dyDescent="0.25">
      <c r="A29" t="s">
        <v>284</v>
      </c>
      <c r="B29" t="s">
        <v>286</v>
      </c>
      <c r="C29" t="s">
        <v>54</v>
      </c>
      <c r="E29">
        <v>12</v>
      </c>
      <c r="F29">
        <v>0.04</v>
      </c>
      <c r="G29">
        <v>12</v>
      </c>
      <c r="H29">
        <v>6</v>
      </c>
      <c r="I29">
        <v>1303</v>
      </c>
      <c r="J29">
        <v>1</v>
      </c>
      <c r="K29" t="s">
        <v>304</v>
      </c>
      <c r="L29" s="5" cm="1">
        <f t="array" ref="L29">INDEX(DataValidation!$B$2:$B$11, _xlfn.XMATCH(K29, DataValidation!$A$2:$A$11))</f>
        <v>3</v>
      </c>
      <c r="M29">
        <v>0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2</v>
      </c>
      <c r="W29" s="23">
        <f t="shared" si="3"/>
        <v>0</v>
      </c>
      <c r="X29" s="24">
        <f t="shared" si="4"/>
        <v>3.52</v>
      </c>
      <c r="Y29" s="24">
        <f t="shared" si="5"/>
        <v>1.2000000000000002</v>
      </c>
      <c r="Z29" s="24">
        <f t="shared" si="6"/>
        <v>2.4000000000000004</v>
      </c>
      <c r="AA29" s="24">
        <f t="shared" si="7"/>
        <v>3</v>
      </c>
      <c r="AB29" s="24">
        <f t="shared" si="8"/>
        <v>4.3433333333333337</v>
      </c>
      <c r="AC29" s="24">
        <f t="shared" si="9"/>
        <v>1</v>
      </c>
      <c r="AD29" s="24">
        <f t="shared" si="10"/>
        <v>3</v>
      </c>
      <c r="AE29" s="24">
        <f t="shared" si="11"/>
        <v>0</v>
      </c>
      <c r="AF29" s="24">
        <f t="shared" si="12"/>
        <v>1</v>
      </c>
      <c r="AG29" s="24">
        <f t="shared" si="13"/>
        <v>0</v>
      </c>
      <c r="AH29" s="24">
        <f t="shared" si="14"/>
        <v>1</v>
      </c>
      <c r="AI29" s="24">
        <f t="shared" si="15"/>
        <v>0</v>
      </c>
      <c r="AJ29" s="24">
        <f t="shared" si="16"/>
        <v>0</v>
      </c>
      <c r="AK29" s="24">
        <f t="shared" si="17"/>
        <v>0</v>
      </c>
      <c r="AL29" s="24">
        <f t="shared" si="18"/>
        <v>0.5</v>
      </c>
      <c r="AM29" s="24">
        <f t="shared" si="19"/>
        <v>0</v>
      </c>
      <c r="AN29" s="24">
        <f t="shared" si="20"/>
        <v>4</v>
      </c>
      <c r="AO29" s="23">
        <f t="shared" si="22"/>
        <v>25</v>
      </c>
      <c r="AP29" s="24">
        <f t="shared" si="21"/>
        <v>25</v>
      </c>
    </row>
    <row r="30" spans="1:42" x14ac:dyDescent="0.25">
      <c r="A30" t="s">
        <v>287</v>
      </c>
      <c r="B30" t="s">
        <v>288</v>
      </c>
      <c r="C30" t="s">
        <v>27</v>
      </c>
      <c r="D30" s="5">
        <v>15390</v>
      </c>
      <c r="E30">
        <v>23</v>
      </c>
      <c r="F30">
        <v>0.03</v>
      </c>
      <c r="G30">
        <v>5</v>
      </c>
      <c r="H30">
        <v>6</v>
      </c>
      <c r="I30">
        <v>900</v>
      </c>
      <c r="J30">
        <v>1</v>
      </c>
      <c r="K30" t="s">
        <v>304</v>
      </c>
      <c r="L30" s="5" cm="1">
        <f t="array" ref="L30">INDEX(DataValidation!$B$2:$B$11, _xlfn.XMATCH(K30, DataValidation!$A$2:$A$11))</f>
        <v>3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0</v>
      </c>
      <c r="U30">
        <v>0</v>
      </c>
      <c r="V30">
        <v>2</v>
      </c>
      <c r="W30" s="23">
        <f t="shared" si="3"/>
        <v>4.6146666666666665</v>
      </c>
      <c r="X30" s="24">
        <f t="shared" si="4"/>
        <v>3.08</v>
      </c>
      <c r="Y30" s="24">
        <f t="shared" si="5"/>
        <v>1.4000000000000001</v>
      </c>
      <c r="Z30" s="24">
        <f t="shared" si="6"/>
        <v>1</v>
      </c>
      <c r="AA30" s="24">
        <f t="shared" si="7"/>
        <v>3</v>
      </c>
      <c r="AB30" s="24">
        <f t="shared" si="8"/>
        <v>3</v>
      </c>
      <c r="AC30" s="24">
        <f t="shared" si="9"/>
        <v>1</v>
      </c>
      <c r="AD30" s="24">
        <f t="shared" si="10"/>
        <v>3</v>
      </c>
      <c r="AE30" s="24">
        <f t="shared" si="11"/>
        <v>0</v>
      </c>
      <c r="AF30" s="24">
        <f t="shared" si="12"/>
        <v>1</v>
      </c>
      <c r="AG30" s="24">
        <f t="shared" si="13"/>
        <v>1</v>
      </c>
      <c r="AH30" s="24">
        <f t="shared" si="14"/>
        <v>1</v>
      </c>
      <c r="AI30" s="24">
        <f t="shared" si="15"/>
        <v>1</v>
      </c>
      <c r="AJ30" s="24">
        <f t="shared" si="16"/>
        <v>0</v>
      </c>
      <c r="AK30" s="24">
        <f t="shared" si="17"/>
        <v>0.5</v>
      </c>
      <c r="AL30" s="24">
        <f t="shared" si="18"/>
        <v>0</v>
      </c>
      <c r="AM30" s="24">
        <f t="shared" si="19"/>
        <v>0</v>
      </c>
      <c r="AN30" s="24">
        <f t="shared" si="20"/>
        <v>4</v>
      </c>
      <c r="AO30" s="23">
        <f t="shared" si="22"/>
        <v>28.6</v>
      </c>
      <c r="AP30" s="24">
        <f t="shared" si="21"/>
        <v>24</v>
      </c>
    </row>
    <row r="31" spans="1:42" x14ac:dyDescent="0.25">
      <c r="A31" t="s">
        <v>287</v>
      </c>
      <c r="B31" t="s">
        <v>289</v>
      </c>
      <c r="C31" t="s">
        <v>27</v>
      </c>
      <c r="D31" s="5">
        <v>21540</v>
      </c>
      <c r="E31">
        <v>40</v>
      </c>
      <c r="F31">
        <v>0.03</v>
      </c>
      <c r="G31">
        <v>10</v>
      </c>
      <c r="H31">
        <v>6</v>
      </c>
      <c r="I31">
        <v>1300</v>
      </c>
      <c r="J31">
        <v>1</v>
      </c>
      <c r="K31" t="s">
        <v>304</v>
      </c>
      <c r="L31" s="5" cm="1">
        <f t="array" ref="L31">INDEX(DataValidation!$B$2:$B$11, _xlfn.XMATCH(K31, DataValidation!$A$2:$A$11))</f>
        <v>3</v>
      </c>
      <c r="M31">
        <v>0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0</v>
      </c>
      <c r="U31">
        <v>0</v>
      </c>
      <c r="V31">
        <v>2</v>
      </c>
      <c r="W31" s="23">
        <f t="shared" si="3"/>
        <v>3.7946666666666666</v>
      </c>
      <c r="X31" s="24">
        <f t="shared" si="4"/>
        <v>2.4</v>
      </c>
      <c r="Y31" s="24">
        <f t="shared" si="5"/>
        <v>1.4000000000000001</v>
      </c>
      <c r="Z31" s="24">
        <f t="shared" si="6"/>
        <v>2</v>
      </c>
      <c r="AA31" s="24">
        <f t="shared" si="7"/>
        <v>3</v>
      </c>
      <c r="AB31" s="24">
        <f t="shared" si="8"/>
        <v>4.3333333333333339</v>
      </c>
      <c r="AC31" s="24">
        <f t="shared" si="9"/>
        <v>1</v>
      </c>
      <c r="AD31" s="24">
        <f t="shared" si="10"/>
        <v>3</v>
      </c>
      <c r="AE31" s="24">
        <f t="shared" si="11"/>
        <v>0</v>
      </c>
      <c r="AF31" s="24">
        <f t="shared" si="12"/>
        <v>1</v>
      </c>
      <c r="AG31" s="24">
        <f t="shared" si="13"/>
        <v>1</v>
      </c>
      <c r="AH31" s="24">
        <f t="shared" si="14"/>
        <v>1</v>
      </c>
      <c r="AI31" s="24">
        <f t="shared" si="15"/>
        <v>1</v>
      </c>
      <c r="AJ31" s="24">
        <f t="shared" si="16"/>
        <v>0</v>
      </c>
      <c r="AK31" s="24">
        <f t="shared" si="17"/>
        <v>0.5</v>
      </c>
      <c r="AL31" s="24">
        <f t="shared" si="18"/>
        <v>0</v>
      </c>
      <c r="AM31" s="24">
        <f t="shared" si="19"/>
        <v>0</v>
      </c>
      <c r="AN31" s="24">
        <f t="shared" si="20"/>
        <v>4</v>
      </c>
      <c r="AO31" s="23">
        <f t="shared" si="22"/>
        <v>29.4</v>
      </c>
      <c r="AP31" s="24">
        <f t="shared" si="21"/>
        <v>25.6</v>
      </c>
    </row>
    <row r="32" spans="1:42" x14ac:dyDescent="0.25">
      <c r="A32" t="s">
        <v>287</v>
      </c>
      <c r="B32" t="s">
        <v>290</v>
      </c>
      <c r="C32" t="s">
        <v>27</v>
      </c>
      <c r="D32" s="5">
        <v>8920</v>
      </c>
      <c r="E32">
        <v>11</v>
      </c>
      <c r="F32">
        <v>0.05</v>
      </c>
      <c r="G32">
        <v>2</v>
      </c>
      <c r="H32">
        <v>6</v>
      </c>
      <c r="I32">
        <v>625</v>
      </c>
      <c r="J32">
        <v>1</v>
      </c>
      <c r="K32" t="s">
        <v>304</v>
      </c>
      <c r="L32" s="5" cm="1">
        <f t="array" ref="L32">INDEX(DataValidation!$B$2:$B$11, _xlfn.XMATCH(K32, DataValidation!$A$2:$A$11))</f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2</v>
      </c>
      <c r="W32" s="23">
        <f t="shared" si="3"/>
        <v>5.4773333333333332</v>
      </c>
      <c r="X32" s="24">
        <f t="shared" si="4"/>
        <v>3.56</v>
      </c>
      <c r="Y32" s="24">
        <f t="shared" si="5"/>
        <v>1</v>
      </c>
      <c r="Z32" s="24">
        <f t="shared" si="6"/>
        <v>0.4</v>
      </c>
      <c r="AA32" s="24">
        <f t="shared" si="7"/>
        <v>3</v>
      </c>
      <c r="AB32" s="24">
        <f t="shared" si="8"/>
        <v>2.0833333333333335</v>
      </c>
      <c r="AC32" s="24">
        <f t="shared" si="9"/>
        <v>1</v>
      </c>
      <c r="AD32" s="24">
        <f t="shared" si="10"/>
        <v>3</v>
      </c>
      <c r="AE32" s="24">
        <f t="shared" si="11"/>
        <v>0</v>
      </c>
      <c r="AF32" s="24">
        <f t="shared" si="12"/>
        <v>0</v>
      </c>
      <c r="AG32" s="24">
        <f t="shared" si="13"/>
        <v>0</v>
      </c>
      <c r="AH32" s="24">
        <f t="shared" si="14"/>
        <v>0</v>
      </c>
      <c r="AI32" s="24">
        <f t="shared" si="15"/>
        <v>0</v>
      </c>
      <c r="AJ32" s="24">
        <f t="shared" si="16"/>
        <v>0</v>
      </c>
      <c r="AK32" s="24">
        <f t="shared" si="17"/>
        <v>0.5</v>
      </c>
      <c r="AL32" s="24">
        <f t="shared" si="18"/>
        <v>0.5</v>
      </c>
      <c r="AM32" s="24">
        <f t="shared" si="19"/>
        <v>0</v>
      </c>
      <c r="AN32" s="24">
        <f t="shared" si="20"/>
        <v>4</v>
      </c>
      <c r="AO32" s="23">
        <f t="shared" si="22"/>
        <v>24.5</v>
      </c>
      <c r="AP32" s="24">
        <f t="shared" si="21"/>
        <v>19</v>
      </c>
    </row>
    <row r="33" spans="1:42" x14ac:dyDescent="0.25">
      <c r="A33" t="s">
        <v>287</v>
      </c>
      <c r="B33" t="s">
        <v>291</v>
      </c>
      <c r="C33" t="s">
        <v>27</v>
      </c>
      <c r="D33" s="5">
        <v>9540</v>
      </c>
      <c r="E33">
        <v>14</v>
      </c>
      <c r="F33">
        <v>0.05</v>
      </c>
      <c r="G33">
        <v>5</v>
      </c>
      <c r="H33">
        <v>6</v>
      </c>
      <c r="I33">
        <v>850</v>
      </c>
      <c r="J33">
        <v>1</v>
      </c>
      <c r="K33" t="s">
        <v>304</v>
      </c>
      <c r="L33" s="5" cm="1">
        <f t="array" ref="L33">INDEX(DataValidation!$B$2:$B$11, _xlfn.XMATCH(K33, DataValidation!$A$2:$A$11))</f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2</v>
      </c>
      <c r="W33" s="23">
        <f t="shared" si="3"/>
        <v>5.3946666666666667</v>
      </c>
      <c r="X33" s="24">
        <f t="shared" si="4"/>
        <v>3.44</v>
      </c>
      <c r="Y33" s="24">
        <f t="shared" si="5"/>
        <v>1</v>
      </c>
      <c r="Z33" s="24">
        <f t="shared" si="6"/>
        <v>1</v>
      </c>
      <c r="AA33" s="24">
        <f t="shared" si="7"/>
        <v>3</v>
      </c>
      <c r="AB33" s="24">
        <f t="shared" si="8"/>
        <v>2.8333333333333335</v>
      </c>
      <c r="AC33" s="24">
        <f t="shared" si="9"/>
        <v>1</v>
      </c>
      <c r="AD33" s="24">
        <f t="shared" si="10"/>
        <v>3</v>
      </c>
      <c r="AE33" s="24">
        <f t="shared" si="11"/>
        <v>0</v>
      </c>
      <c r="AF33" s="24">
        <f t="shared" si="12"/>
        <v>0</v>
      </c>
      <c r="AG33" s="24">
        <f t="shared" si="13"/>
        <v>0</v>
      </c>
      <c r="AH33" s="24">
        <f t="shared" si="14"/>
        <v>0</v>
      </c>
      <c r="AI33" s="24">
        <f t="shared" si="15"/>
        <v>0</v>
      </c>
      <c r="AJ33" s="24">
        <f t="shared" si="16"/>
        <v>0</v>
      </c>
      <c r="AK33" s="24">
        <f t="shared" si="17"/>
        <v>0.5</v>
      </c>
      <c r="AL33" s="24">
        <f t="shared" si="18"/>
        <v>0.5</v>
      </c>
      <c r="AM33" s="24">
        <f t="shared" si="19"/>
        <v>0</v>
      </c>
      <c r="AN33" s="24">
        <f t="shared" si="20"/>
        <v>4</v>
      </c>
      <c r="AO33" s="23">
        <f t="shared" si="22"/>
        <v>25.7</v>
      </c>
      <c r="AP33" s="24">
        <f t="shared" si="21"/>
        <v>20.3</v>
      </c>
    </row>
    <row r="34" spans="1:42" x14ac:dyDescent="0.25">
      <c r="A34" t="s">
        <v>292</v>
      </c>
      <c r="B34" t="s">
        <v>293</v>
      </c>
      <c r="C34" t="s">
        <v>331</v>
      </c>
      <c r="D34" s="5">
        <v>22500</v>
      </c>
      <c r="E34">
        <v>21</v>
      </c>
      <c r="F34">
        <v>0.03</v>
      </c>
      <c r="G34">
        <v>5</v>
      </c>
      <c r="H34">
        <v>6</v>
      </c>
      <c r="I34">
        <v>900</v>
      </c>
      <c r="J34">
        <v>1</v>
      </c>
      <c r="K34" t="s">
        <v>294</v>
      </c>
      <c r="L34" s="5" cm="1">
        <f t="array" ref="L34">INDEX(DataValidation!$B$2:$B$11, _xlfn.XMATCH(K34, DataValidation!$A$2:$A$11))</f>
        <v>1</v>
      </c>
      <c r="M34">
        <v>0</v>
      </c>
      <c r="N34">
        <v>1</v>
      </c>
      <c r="O34">
        <v>0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2</v>
      </c>
      <c r="W34" s="23">
        <f t="shared" si="3"/>
        <v>3.666666666666667</v>
      </c>
      <c r="X34" s="24">
        <f t="shared" si="4"/>
        <v>3.16</v>
      </c>
      <c r="Y34" s="24">
        <f t="shared" si="5"/>
        <v>1.4000000000000001</v>
      </c>
      <c r="Z34" s="24">
        <f t="shared" si="6"/>
        <v>1</v>
      </c>
      <c r="AA34" s="24">
        <f t="shared" si="7"/>
        <v>3</v>
      </c>
      <c r="AB34" s="24">
        <f t="shared" si="8"/>
        <v>3</v>
      </c>
      <c r="AC34" s="24">
        <f t="shared" si="9"/>
        <v>1</v>
      </c>
      <c r="AD34" s="24">
        <f t="shared" si="10"/>
        <v>1</v>
      </c>
      <c r="AE34" s="24">
        <f t="shared" si="11"/>
        <v>0</v>
      </c>
      <c r="AF34" s="24">
        <f t="shared" si="12"/>
        <v>1</v>
      </c>
      <c r="AG34" s="24">
        <f t="shared" si="13"/>
        <v>0</v>
      </c>
      <c r="AH34" s="24">
        <f t="shared" si="14"/>
        <v>1</v>
      </c>
      <c r="AI34" s="24">
        <f t="shared" si="15"/>
        <v>1</v>
      </c>
      <c r="AJ34" s="24">
        <f t="shared" si="16"/>
        <v>1</v>
      </c>
      <c r="AK34" s="24">
        <f t="shared" si="17"/>
        <v>0</v>
      </c>
      <c r="AL34" s="24">
        <f t="shared" si="18"/>
        <v>0</v>
      </c>
      <c r="AM34" s="24">
        <f t="shared" si="19"/>
        <v>0</v>
      </c>
      <c r="AN34" s="24">
        <f t="shared" si="20"/>
        <v>4</v>
      </c>
      <c r="AO34" s="23">
        <f t="shared" si="22"/>
        <v>25.2</v>
      </c>
      <c r="AP34" s="24">
        <f t="shared" si="21"/>
        <v>21.6</v>
      </c>
    </row>
    <row r="35" spans="1:42" x14ac:dyDescent="0.25">
      <c r="A35" t="s">
        <v>292</v>
      </c>
      <c r="B35" t="s">
        <v>295</v>
      </c>
      <c r="C35" t="s">
        <v>331</v>
      </c>
      <c r="D35" s="5">
        <v>27500</v>
      </c>
      <c r="E35">
        <v>27</v>
      </c>
      <c r="F35">
        <v>0.05</v>
      </c>
      <c r="G35">
        <v>9</v>
      </c>
      <c r="H35">
        <v>6</v>
      </c>
      <c r="I35">
        <v>1200</v>
      </c>
      <c r="J35">
        <v>1</v>
      </c>
      <c r="K35" t="s">
        <v>294</v>
      </c>
      <c r="L35" s="5" cm="1">
        <f t="array" ref="L35">INDEX(DataValidation!$B$2:$B$11, _xlfn.XMATCH(K35, DataValidation!$A$2:$A$11))</f>
        <v>1</v>
      </c>
      <c r="M35">
        <v>0</v>
      </c>
      <c r="N35">
        <v>1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2</v>
      </c>
      <c r="W35" s="23">
        <f t="shared" si="3"/>
        <v>3</v>
      </c>
      <c r="X35" s="24">
        <f t="shared" si="4"/>
        <v>2.92</v>
      </c>
      <c r="Y35" s="24">
        <f t="shared" si="5"/>
        <v>1</v>
      </c>
      <c r="Z35" s="24">
        <f t="shared" si="6"/>
        <v>1.8</v>
      </c>
      <c r="AA35" s="24">
        <f t="shared" si="7"/>
        <v>3</v>
      </c>
      <c r="AB35" s="24">
        <f t="shared" si="8"/>
        <v>4</v>
      </c>
      <c r="AC35" s="24">
        <f t="shared" si="9"/>
        <v>1</v>
      </c>
      <c r="AD35" s="24">
        <f t="shared" si="10"/>
        <v>1</v>
      </c>
      <c r="AE35" s="24">
        <f t="shared" si="11"/>
        <v>0</v>
      </c>
      <c r="AF35" s="24">
        <f t="shared" si="12"/>
        <v>1</v>
      </c>
      <c r="AG35" s="24">
        <f t="shared" si="13"/>
        <v>0</v>
      </c>
      <c r="AH35" s="24">
        <f t="shared" si="14"/>
        <v>1</v>
      </c>
      <c r="AI35" s="24">
        <f t="shared" si="15"/>
        <v>1</v>
      </c>
      <c r="AJ35" s="24">
        <f t="shared" si="16"/>
        <v>1</v>
      </c>
      <c r="AK35" s="24">
        <f t="shared" si="17"/>
        <v>0</v>
      </c>
      <c r="AL35" s="24">
        <f t="shared" si="18"/>
        <v>0</v>
      </c>
      <c r="AM35" s="24">
        <f t="shared" si="19"/>
        <v>0</v>
      </c>
      <c r="AN35" s="24">
        <f t="shared" si="20"/>
        <v>4</v>
      </c>
      <c r="AO35" s="23">
        <f t="shared" si="22"/>
        <v>25.7</v>
      </c>
      <c r="AP35" s="24">
        <f t="shared" si="21"/>
        <v>22.7</v>
      </c>
    </row>
    <row r="36" spans="1:42" x14ac:dyDescent="0.25">
      <c r="A36" t="s">
        <v>292</v>
      </c>
      <c r="B36" t="s">
        <v>296</v>
      </c>
      <c r="C36" t="s">
        <v>331</v>
      </c>
      <c r="D36" s="5">
        <v>29500</v>
      </c>
      <c r="E36">
        <v>27</v>
      </c>
      <c r="F36">
        <v>0.05</v>
      </c>
      <c r="G36">
        <v>6</v>
      </c>
      <c r="H36">
        <v>6</v>
      </c>
      <c r="I36">
        <v>900</v>
      </c>
      <c r="J36">
        <v>1</v>
      </c>
      <c r="K36" t="s">
        <v>294</v>
      </c>
      <c r="L36" s="5" cm="1">
        <f t="array" ref="L36">INDEX(DataValidation!$B$2:$B$11, _xlfn.XMATCH(K36, DataValidation!$A$2:$A$11))</f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2</v>
      </c>
      <c r="W36" s="23">
        <f t="shared" si="3"/>
        <v>2.7333333333333334</v>
      </c>
      <c r="X36" s="24">
        <f t="shared" si="4"/>
        <v>2.92</v>
      </c>
      <c r="Y36" s="24">
        <f t="shared" si="5"/>
        <v>1</v>
      </c>
      <c r="Z36" s="24">
        <f t="shared" si="6"/>
        <v>1.2000000000000002</v>
      </c>
      <c r="AA36" s="24">
        <f t="shared" si="7"/>
        <v>3</v>
      </c>
      <c r="AB36" s="24">
        <f t="shared" si="8"/>
        <v>3</v>
      </c>
      <c r="AC36" s="24">
        <f t="shared" si="9"/>
        <v>1</v>
      </c>
      <c r="AD36" s="24">
        <f t="shared" si="10"/>
        <v>1</v>
      </c>
      <c r="AE36" s="24">
        <f t="shared" si="11"/>
        <v>1</v>
      </c>
      <c r="AF36" s="24">
        <f t="shared" si="12"/>
        <v>1</v>
      </c>
      <c r="AG36" s="24">
        <f t="shared" si="13"/>
        <v>1</v>
      </c>
      <c r="AH36" s="24">
        <f t="shared" si="14"/>
        <v>1</v>
      </c>
      <c r="AI36" s="24">
        <f t="shared" si="15"/>
        <v>1</v>
      </c>
      <c r="AJ36" s="24">
        <f t="shared" si="16"/>
        <v>0</v>
      </c>
      <c r="AK36" s="24">
        <f t="shared" si="17"/>
        <v>0</v>
      </c>
      <c r="AL36" s="24">
        <f t="shared" si="18"/>
        <v>0</v>
      </c>
      <c r="AM36" s="24">
        <f t="shared" si="19"/>
        <v>0</v>
      </c>
      <c r="AN36" s="24">
        <f t="shared" si="20"/>
        <v>4</v>
      </c>
      <c r="AO36" s="23">
        <f t="shared" si="22"/>
        <v>24.9</v>
      </c>
      <c r="AP36" s="24">
        <f t="shared" si="21"/>
        <v>22.1</v>
      </c>
    </row>
    <row r="37" spans="1:42" x14ac:dyDescent="0.25">
      <c r="A37" t="s">
        <v>292</v>
      </c>
      <c r="B37" t="s">
        <v>297</v>
      </c>
      <c r="C37" t="s">
        <v>331</v>
      </c>
      <c r="D37" s="5">
        <v>37500</v>
      </c>
      <c r="E37">
        <v>32</v>
      </c>
      <c r="F37">
        <v>0.05</v>
      </c>
      <c r="G37">
        <v>15</v>
      </c>
      <c r="H37">
        <v>6</v>
      </c>
      <c r="I37">
        <v>900</v>
      </c>
      <c r="J37">
        <v>1</v>
      </c>
      <c r="K37" t="s">
        <v>294</v>
      </c>
      <c r="L37" s="5" cm="1">
        <f t="array" ref="L37">INDEX(DataValidation!$B$2:$B$11, _xlfn.XMATCH(K37, DataValidation!$A$2:$A$11))</f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2</v>
      </c>
      <c r="W37" s="23">
        <f t="shared" si="3"/>
        <v>1.6666666666666667</v>
      </c>
      <c r="X37" s="24">
        <f t="shared" si="4"/>
        <v>2.72</v>
      </c>
      <c r="Y37" s="24">
        <f t="shared" si="5"/>
        <v>1</v>
      </c>
      <c r="Z37" s="24">
        <f t="shared" si="6"/>
        <v>3</v>
      </c>
      <c r="AA37" s="24">
        <f t="shared" si="7"/>
        <v>3</v>
      </c>
      <c r="AB37" s="24">
        <f t="shared" si="8"/>
        <v>3</v>
      </c>
      <c r="AC37" s="24">
        <f t="shared" si="9"/>
        <v>1</v>
      </c>
      <c r="AD37" s="24">
        <f t="shared" si="10"/>
        <v>1</v>
      </c>
      <c r="AE37" s="24">
        <f t="shared" si="11"/>
        <v>1</v>
      </c>
      <c r="AF37" s="24">
        <f t="shared" si="12"/>
        <v>1</v>
      </c>
      <c r="AG37" s="24">
        <f t="shared" si="13"/>
        <v>1</v>
      </c>
      <c r="AH37" s="24">
        <f t="shared" si="14"/>
        <v>1</v>
      </c>
      <c r="AI37" s="24">
        <f t="shared" si="15"/>
        <v>1</v>
      </c>
      <c r="AJ37" s="24">
        <f t="shared" si="16"/>
        <v>0</v>
      </c>
      <c r="AK37" s="24">
        <f t="shared" si="17"/>
        <v>0</v>
      </c>
      <c r="AL37" s="24">
        <f t="shared" si="18"/>
        <v>0</v>
      </c>
      <c r="AM37" s="24">
        <f t="shared" si="19"/>
        <v>0</v>
      </c>
      <c r="AN37" s="24">
        <f t="shared" si="20"/>
        <v>4</v>
      </c>
      <c r="AO37" s="23">
        <f t="shared" si="22"/>
        <v>25.4</v>
      </c>
      <c r="AP37" s="24">
        <f t="shared" si="21"/>
        <v>23.7</v>
      </c>
    </row>
    <row r="38" spans="1:42" x14ac:dyDescent="0.25">
      <c r="A38" t="s">
        <v>292</v>
      </c>
      <c r="B38" t="s">
        <v>298</v>
      </c>
      <c r="C38" t="s">
        <v>331</v>
      </c>
      <c r="D38" s="5">
        <v>44000</v>
      </c>
      <c r="E38">
        <v>74</v>
      </c>
      <c r="F38">
        <v>0.1</v>
      </c>
      <c r="G38">
        <v>20</v>
      </c>
      <c r="H38">
        <v>6</v>
      </c>
      <c r="I38">
        <v>1700</v>
      </c>
      <c r="J38">
        <v>1</v>
      </c>
      <c r="K38" t="s">
        <v>294</v>
      </c>
      <c r="L38" s="5" cm="1">
        <f t="array" ref="L38">INDEX(DataValidation!$B$2:$B$11, _xlfn.XMATCH(K38, DataValidation!$A$2:$A$11))</f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2</v>
      </c>
      <c r="W38" s="23">
        <f t="shared" si="3"/>
        <v>0.8</v>
      </c>
      <c r="X38" s="24">
        <f t="shared" si="4"/>
        <v>1.04</v>
      </c>
      <c r="Y38" s="24">
        <f t="shared" si="5"/>
        <v>0</v>
      </c>
      <c r="Z38" s="24">
        <f t="shared" si="6"/>
        <v>4</v>
      </c>
      <c r="AA38" s="24">
        <f t="shared" si="7"/>
        <v>3</v>
      </c>
      <c r="AB38" s="24">
        <f t="shared" si="8"/>
        <v>5.666666666666667</v>
      </c>
      <c r="AC38" s="24">
        <f t="shared" si="9"/>
        <v>1</v>
      </c>
      <c r="AD38" s="24">
        <f t="shared" si="10"/>
        <v>1</v>
      </c>
      <c r="AE38" s="24">
        <f t="shared" si="11"/>
        <v>1</v>
      </c>
      <c r="AF38" s="24">
        <f t="shared" si="12"/>
        <v>1</v>
      </c>
      <c r="AG38" s="24">
        <f t="shared" si="13"/>
        <v>0</v>
      </c>
      <c r="AH38" s="24">
        <f t="shared" si="14"/>
        <v>1</v>
      </c>
      <c r="AI38" s="24">
        <f t="shared" si="15"/>
        <v>1</v>
      </c>
      <c r="AJ38" s="24">
        <f t="shared" si="16"/>
        <v>1</v>
      </c>
      <c r="AK38" s="24">
        <f t="shared" si="17"/>
        <v>0</v>
      </c>
      <c r="AL38" s="24">
        <f t="shared" si="18"/>
        <v>0</v>
      </c>
      <c r="AM38" s="24">
        <f t="shared" si="19"/>
        <v>0</v>
      </c>
      <c r="AN38" s="24">
        <f t="shared" si="20"/>
        <v>4</v>
      </c>
      <c r="AO38" s="23">
        <f t="shared" si="22"/>
        <v>25.5</v>
      </c>
      <c r="AP38" s="24">
        <f t="shared" si="21"/>
        <v>24.7</v>
      </c>
    </row>
    <row r="39" spans="1:42" x14ac:dyDescent="0.25">
      <c r="A39" t="s">
        <v>292</v>
      </c>
      <c r="B39" t="s">
        <v>299</v>
      </c>
      <c r="C39" t="s">
        <v>331</v>
      </c>
      <c r="D39" s="5">
        <v>50500</v>
      </c>
      <c r="E39">
        <v>72</v>
      </c>
      <c r="F39">
        <v>0.1</v>
      </c>
      <c r="G39">
        <v>25</v>
      </c>
      <c r="H39">
        <v>6</v>
      </c>
      <c r="I39">
        <v>1500</v>
      </c>
      <c r="J39">
        <v>1</v>
      </c>
      <c r="K39" t="s">
        <v>294</v>
      </c>
      <c r="L39" s="5" cm="1">
        <f t="array" ref="L39">INDEX(DataValidation!$B$2:$B$11, _xlfn.XMATCH(K39, DataValidation!$A$2:$A$11))</f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2</v>
      </c>
      <c r="W39" s="23">
        <f t="shared" si="3"/>
        <v>-6.6666666666666666E-2</v>
      </c>
      <c r="X39" s="24">
        <f t="shared" si="4"/>
        <v>1.1200000000000001</v>
      </c>
      <c r="Y39" s="24">
        <f t="shared" si="5"/>
        <v>0</v>
      </c>
      <c r="Z39" s="24">
        <f t="shared" si="6"/>
        <v>5</v>
      </c>
      <c r="AA39" s="24">
        <f t="shared" si="7"/>
        <v>3</v>
      </c>
      <c r="AB39" s="24">
        <f t="shared" si="8"/>
        <v>5</v>
      </c>
      <c r="AC39" s="24">
        <f t="shared" si="9"/>
        <v>1</v>
      </c>
      <c r="AD39" s="24">
        <f t="shared" si="10"/>
        <v>1</v>
      </c>
      <c r="AE39" s="24">
        <f t="shared" si="11"/>
        <v>1</v>
      </c>
      <c r="AF39" s="24">
        <f t="shared" si="12"/>
        <v>1</v>
      </c>
      <c r="AG39" s="24">
        <f t="shared" si="13"/>
        <v>0</v>
      </c>
      <c r="AH39" s="24">
        <f t="shared" si="14"/>
        <v>1</v>
      </c>
      <c r="AI39" s="24">
        <f t="shared" si="15"/>
        <v>1</v>
      </c>
      <c r="AJ39" s="24">
        <f t="shared" si="16"/>
        <v>1</v>
      </c>
      <c r="AK39" s="24">
        <f t="shared" si="17"/>
        <v>0</v>
      </c>
      <c r="AL39" s="24">
        <f t="shared" si="18"/>
        <v>0</v>
      </c>
      <c r="AM39" s="24">
        <f t="shared" si="19"/>
        <v>0</v>
      </c>
      <c r="AN39" s="24">
        <f t="shared" si="20"/>
        <v>4</v>
      </c>
      <c r="AO39" s="23">
        <f t="shared" si="22"/>
        <v>25.1</v>
      </c>
      <c r="AP39" s="24">
        <f t="shared" si="21"/>
        <v>25.1</v>
      </c>
    </row>
    <row r="40" spans="1:42" x14ac:dyDescent="0.25">
      <c r="A40" t="s">
        <v>301</v>
      </c>
      <c r="B40" t="s">
        <v>302</v>
      </c>
      <c r="C40" t="s">
        <v>27</v>
      </c>
      <c r="D40" s="5">
        <v>14280</v>
      </c>
      <c r="E40">
        <v>13</v>
      </c>
      <c r="F40">
        <v>0.02</v>
      </c>
      <c r="G40">
        <v>3</v>
      </c>
      <c r="H40">
        <v>6</v>
      </c>
      <c r="I40">
        <v>624</v>
      </c>
      <c r="J40">
        <v>1</v>
      </c>
      <c r="K40" t="s">
        <v>304</v>
      </c>
      <c r="L40" s="5" cm="1">
        <f t="array" ref="L40">INDEX(DataValidation!$B$2:$B$11, _xlfn.XMATCH(K40, DataValidation!$A$2:$A$11))</f>
        <v>3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2</v>
      </c>
      <c r="W40" s="23">
        <f t="shared" si="3"/>
        <v>4.762666666666667</v>
      </c>
      <c r="X40" s="24">
        <f t="shared" si="4"/>
        <v>3.48</v>
      </c>
      <c r="Y40" s="24">
        <f t="shared" si="5"/>
        <v>1.6</v>
      </c>
      <c r="Z40" s="24">
        <f t="shared" si="6"/>
        <v>0.60000000000000009</v>
      </c>
      <c r="AA40" s="24">
        <f t="shared" si="7"/>
        <v>3</v>
      </c>
      <c r="AB40" s="24">
        <f t="shared" si="8"/>
        <v>2.08</v>
      </c>
      <c r="AC40" s="24">
        <f t="shared" si="9"/>
        <v>1</v>
      </c>
      <c r="AD40" s="24">
        <f t="shared" si="10"/>
        <v>3</v>
      </c>
      <c r="AE40" s="24">
        <f t="shared" si="11"/>
        <v>0</v>
      </c>
      <c r="AF40" s="24">
        <f t="shared" si="12"/>
        <v>1</v>
      </c>
      <c r="AG40" s="24">
        <f t="shared" si="13"/>
        <v>1</v>
      </c>
      <c r="AH40" s="24">
        <f t="shared" si="14"/>
        <v>1</v>
      </c>
      <c r="AI40" s="24">
        <f t="shared" si="15"/>
        <v>1</v>
      </c>
      <c r="AJ40" s="24">
        <f t="shared" si="16"/>
        <v>1</v>
      </c>
      <c r="AK40" s="24">
        <f t="shared" si="17"/>
        <v>0</v>
      </c>
      <c r="AL40" s="24">
        <f t="shared" si="18"/>
        <v>0</v>
      </c>
      <c r="AM40" s="24">
        <f t="shared" si="19"/>
        <v>0</v>
      </c>
      <c r="AN40" s="24">
        <f t="shared" si="20"/>
        <v>4</v>
      </c>
      <c r="AO40" s="23">
        <f t="shared" si="22"/>
        <v>28.5</v>
      </c>
      <c r="AP40" s="24">
        <f t="shared" si="21"/>
        <v>23.8</v>
      </c>
    </row>
    <row r="41" spans="1:42" x14ac:dyDescent="0.25">
      <c r="A41" t="s">
        <v>301</v>
      </c>
      <c r="B41" t="s">
        <v>309</v>
      </c>
      <c r="C41" t="s">
        <v>27</v>
      </c>
      <c r="D41" s="5">
        <v>25800</v>
      </c>
      <c r="E41">
        <v>32.5</v>
      </c>
      <c r="F41">
        <v>0.03</v>
      </c>
      <c r="G41">
        <v>16</v>
      </c>
      <c r="H41">
        <v>6</v>
      </c>
      <c r="I41">
        <v>954</v>
      </c>
      <c r="J41">
        <v>1</v>
      </c>
      <c r="K41" t="s">
        <v>304</v>
      </c>
      <c r="L41" s="5" cm="1">
        <f t="array" ref="L41">INDEX(DataValidation!$B$2:$B$11, _xlfn.XMATCH(K41, DataValidation!$A$2:$A$11))</f>
        <v>3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2</v>
      </c>
      <c r="W41" s="23">
        <f t="shared" si="3"/>
        <v>3.226666666666667</v>
      </c>
      <c r="X41" s="24">
        <f t="shared" si="4"/>
        <v>2.7</v>
      </c>
      <c r="Y41" s="24">
        <f t="shared" si="5"/>
        <v>1.4000000000000001</v>
      </c>
      <c r="Z41" s="24">
        <f t="shared" si="6"/>
        <v>3.2</v>
      </c>
      <c r="AA41" s="24">
        <f t="shared" si="7"/>
        <v>3</v>
      </c>
      <c r="AB41" s="24">
        <f t="shared" si="8"/>
        <v>3.18</v>
      </c>
      <c r="AC41" s="24">
        <f t="shared" si="9"/>
        <v>1</v>
      </c>
      <c r="AD41" s="24">
        <f t="shared" si="10"/>
        <v>3</v>
      </c>
      <c r="AE41" s="24">
        <f t="shared" si="11"/>
        <v>0</v>
      </c>
      <c r="AF41" s="24">
        <f t="shared" si="12"/>
        <v>1</v>
      </c>
      <c r="AG41" s="24">
        <f t="shared" si="13"/>
        <v>1</v>
      </c>
      <c r="AH41" s="24">
        <f t="shared" si="14"/>
        <v>1</v>
      </c>
      <c r="AI41" s="24">
        <f t="shared" si="15"/>
        <v>1</v>
      </c>
      <c r="AJ41" s="24">
        <f t="shared" si="16"/>
        <v>1</v>
      </c>
      <c r="AK41" s="24">
        <f t="shared" si="17"/>
        <v>0</v>
      </c>
      <c r="AL41" s="24">
        <f t="shared" si="18"/>
        <v>0</v>
      </c>
      <c r="AM41" s="24">
        <f t="shared" si="19"/>
        <v>0</v>
      </c>
      <c r="AN41" s="24">
        <f t="shared" si="20"/>
        <v>4</v>
      </c>
      <c r="AO41" s="23">
        <f t="shared" si="22"/>
        <v>29.7</v>
      </c>
      <c r="AP41" s="24">
        <f t="shared" si="21"/>
        <v>26.5</v>
      </c>
    </row>
    <row r="42" spans="1:42" x14ac:dyDescent="0.25">
      <c r="A42" t="s">
        <v>301</v>
      </c>
      <c r="B42" t="s">
        <v>310</v>
      </c>
      <c r="C42" t="s">
        <v>27</v>
      </c>
      <c r="D42" s="5">
        <v>16840</v>
      </c>
      <c r="E42">
        <v>15</v>
      </c>
      <c r="F42">
        <v>0.02</v>
      </c>
      <c r="G42">
        <v>3</v>
      </c>
      <c r="H42">
        <v>6</v>
      </c>
      <c r="I42">
        <v>624</v>
      </c>
      <c r="J42">
        <v>1</v>
      </c>
      <c r="K42" t="s">
        <v>304</v>
      </c>
      <c r="L42" s="5" cm="1">
        <f t="array" ref="L42">INDEX(DataValidation!$B$2:$B$11, _xlfn.XMATCH(K42, DataValidation!$A$2:$A$11))</f>
        <v>3</v>
      </c>
      <c r="M42">
        <v>0</v>
      </c>
      <c r="N42">
        <v>1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2</v>
      </c>
      <c r="W42" s="23">
        <f t="shared" si="3"/>
        <v>4.4213333333333331</v>
      </c>
      <c r="X42" s="24">
        <f t="shared" si="4"/>
        <v>3.4</v>
      </c>
      <c r="Y42" s="24">
        <f t="shared" si="5"/>
        <v>1.6</v>
      </c>
      <c r="Z42" s="24">
        <f t="shared" si="6"/>
        <v>0.60000000000000009</v>
      </c>
      <c r="AA42" s="24">
        <f t="shared" si="7"/>
        <v>3</v>
      </c>
      <c r="AB42" s="24">
        <f t="shared" si="8"/>
        <v>2.08</v>
      </c>
      <c r="AC42" s="24">
        <f t="shared" si="9"/>
        <v>1</v>
      </c>
      <c r="AD42" s="24">
        <f t="shared" si="10"/>
        <v>3</v>
      </c>
      <c r="AE42" s="24">
        <f t="shared" si="11"/>
        <v>0</v>
      </c>
      <c r="AF42" s="24">
        <f t="shared" si="12"/>
        <v>1</v>
      </c>
      <c r="AG42" s="24">
        <f t="shared" si="13"/>
        <v>0</v>
      </c>
      <c r="AH42" s="24">
        <f t="shared" si="14"/>
        <v>1</v>
      </c>
      <c r="AI42" s="24">
        <f t="shared" si="15"/>
        <v>1</v>
      </c>
      <c r="AJ42" s="24">
        <f t="shared" si="16"/>
        <v>0</v>
      </c>
      <c r="AK42" s="24">
        <f t="shared" si="17"/>
        <v>0</v>
      </c>
      <c r="AL42" s="24">
        <f t="shared" si="18"/>
        <v>0</v>
      </c>
      <c r="AM42" s="24">
        <f t="shared" si="19"/>
        <v>0</v>
      </c>
      <c r="AN42" s="24">
        <f t="shared" si="20"/>
        <v>4</v>
      </c>
      <c r="AO42" s="23">
        <f t="shared" si="22"/>
        <v>26.1</v>
      </c>
      <c r="AP42" s="24">
        <f t="shared" si="21"/>
        <v>21.7</v>
      </c>
    </row>
    <row r="43" spans="1:42" x14ac:dyDescent="0.25">
      <c r="A43" t="s">
        <v>301</v>
      </c>
      <c r="B43" t="s">
        <v>311</v>
      </c>
      <c r="C43" t="s">
        <v>27</v>
      </c>
      <c r="D43" s="5">
        <v>34400</v>
      </c>
      <c r="E43">
        <v>58</v>
      </c>
      <c r="F43">
        <v>0.08</v>
      </c>
      <c r="G43">
        <v>25</v>
      </c>
      <c r="H43">
        <v>6</v>
      </c>
      <c r="I43">
        <v>1500</v>
      </c>
      <c r="J43">
        <v>1</v>
      </c>
      <c r="K43" t="s">
        <v>304</v>
      </c>
      <c r="L43" s="5" cm="1">
        <f t="array" ref="L43">INDEX(DataValidation!$B$2:$B$11, _xlfn.XMATCH(K43, DataValidation!$A$2:$A$11))</f>
        <v>3</v>
      </c>
      <c r="M43">
        <v>0</v>
      </c>
      <c r="N43">
        <v>1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2</v>
      </c>
      <c r="W43" s="23">
        <f t="shared" si="3"/>
        <v>2.08</v>
      </c>
      <c r="X43" s="24">
        <f t="shared" si="4"/>
        <v>1.68</v>
      </c>
      <c r="Y43" s="24">
        <f t="shared" si="5"/>
        <v>0.40000000000000008</v>
      </c>
      <c r="Z43" s="24">
        <f t="shared" si="6"/>
        <v>5</v>
      </c>
      <c r="AA43" s="24">
        <f t="shared" si="7"/>
        <v>3</v>
      </c>
      <c r="AB43" s="24">
        <f t="shared" si="8"/>
        <v>5</v>
      </c>
      <c r="AC43" s="24">
        <f t="shared" si="9"/>
        <v>1</v>
      </c>
      <c r="AD43" s="24">
        <f t="shared" si="10"/>
        <v>3</v>
      </c>
      <c r="AE43" s="24">
        <f t="shared" si="11"/>
        <v>0</v>
      </c>
      <c r="AF43" s="24">
        <f t="shared" si="12"/>
        <v>1</v>
      </c>
      <c r="AG43" s="24">
        <f t="shared" si="13"/>
        <v>0</v>
      </c>
      <c r="AH43" s="24">
        <f t="shared" si="14"/>
        <v>1</v>
      </c>
      <c r="AI43" s="24">
        <f t="shared" si="15"/>
        <v>1</v>
      </c>
      <c r="AJ43" s="24">
        <f t="shared" si="16"/>
        <v>0</v>
      </c>
      <c r="AK43" s="24">
        <f t="shared" si="17"/>
        <v>0</v>
      </c>
      <c r="AL43" s="24">
        <f t="shared" si="18"/>
        <v>0</v>
      </c>
      <c r="AM43" s="24">
        <f t="shared" si="19"/>
        <v>0</v>
      </c>
      <c r="AN43" s="24">
        <f t="shared" si="20"/>
        <v>4</v>
      </c>
      <c r="AO43" s="23">
        <f t="shared" si="22"/>
        <v>28.2</v>
      </c>
      <c r="AP43" s="24">
        <f t="shared" si="21"/>
        <v>26.1</v>
      </c>
    </row>
    <row r="44" spans="1:42" x14ac:dyDescent="0.25">
      <c r="A44" t="s">
        <v>301</v>
      </c>
      <c r="B44" t="s">
        <v>312</v>
      </c>
      <c r="C44" t="s">
        <v>27</v>
      </c>
      <c r="D44" s="5">
        <v>16875</v>
      </c>
      <c r="E44">
        <v>17.5</v>
      </c>
      <c r="F44">
        <v>0.03</v>
      </c>
      <c r="G44">
        <v>6</v>
      </c>
      <c r="H44">
        <v>6</v>
      </c>
      <c r="I44">
        <v>914</v>
      </c>
      <c r="J44">
        <v>1</v>
      </c>
      <c r="K44" t="s">
        <v>304</v>
      </c>
      <c r="L44" s="5" cm="1">
        <f t="array" ref="L44">INDEX(DataValidation!$B$2:$B$11, _xlfn.XMATCH(K44, DataValidation!$A$2:$A$11))</f>
        <v>3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2</v>
      </c>
      <c r="W44" s="23">
        <f t="shared" si="3"/>
        <v>4.416666666666667</v>
      </c>
      <c r="X44" s="24">
        <f t="shared" si="4"/>
        <v>3.3000000000000003</v>
      </c>
      <c r="Y44" s="24">
        <f t="shared" si="5"/>
        <v>1.4000000000000001</v>
      </c>
      <c r="Z44" s="24">
        <f t="shared" si="6"/>
        <v>1.2000000000000002</v>
      </c>
      <c r="AA44" s="24">
        <f t="shared" si="7"/>
        <v>3</v>
      </c>
      <c r="AB44" s="24">
        <f t="shared" si="8"/>
        <v>3.0466666666666669</v>
      </c>
      <c r="AC44" s="24">
        <f t="shared" si="9"/>
        <v>1</v>
      </c>
      <c r="AD44" s="24">
        <f t="shared" si="10"/>
        <v>3</v>
      </c>
      <c r="AE44" s="24">
        <f t="shared" si="11"/>
        <v>0</v>
      </c>
      <c r="AF44" s="24">
        <f t="shared" si="12"/>
        <v>1</v>
      </c>
      <c r="AG44" s="24">
        <f t="shared" si="13"/>
        <v>1</v>
      </c>
      <c r="AH44" s="24">
        <f t="shared" si="14"/>
        <v>1</v>
      </c>
      <c r="AI44" s="24">
        <f t="shared" si="15"/>
        <v>1</v>
      </c>
      <c r="AJ44" s="24">
        <f t="shared" si="16"/>
        <v>1</v>
      </c>
      <c r="AK44" s="24">
        <f t="shared" si="17"/>
        <v>0</v>
      </c>
      <c r="AL44" s="24">
        <f t="shared" si="18"/>
        <v>0</v>
      </c>
      <c r="AM44" s="24">
        <f t="shared" si="19"/>
        <v>0</v>
      </c>
      <c r="AN44" s="24">
        <f t="shared" si="20"/>
        <v>4</v>
      </c>
      <c r="AO44" s="23">
        <f t="shared" si="22"/>
        <v>29.4</v>
      </c>
      <c r="AP44" s="24">
        <f t="shared" si="21"/>
        <v>24.9</v>
      </c>
    </row>
    <row r="45" spans="1:42" x14ac:dyDescent="0.25">
      <c r="A45" t="s">
        <v>301</v>
      </c>
      <c r="B45" t="s">
        <v>313</v>
      </c>
      <c r="C45" t="s">
        <v>27</v>
      </c>
      <c r="D45" s="5">
        <v>18575</v>
      </c>
      <c r="E45">
        <v>17</v>
      </c>
      <c r="F45">
        <v>0.03</v>
      </c>
      <c r="G45">
        <v>8</v>
      </c>
      <c r="H45">
        <v>6</v>
      </c>
      <c r="I45">
        <v>820</v>
      </c>
      <c r="J45">
        <v>1</v>
      </c>
      <c r="K45" t="s">
        <v>304</v>
      </c>
      <c r="L45" s="5" cm="1">
        <f t="array" ref="L45">INDEX(DataValidation!$B$2:$B$11, _xlfn.XMATCH(K45, DataValidation!$A$2:$A$11))</f>
        <v>3</v>
      </c>
      <c r="M45">
        <v>0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2</v>
      </c>
      <c r="W45" s="23">
        <f t="shared" si="3"/>
        <v>4.1900000000000004</v>
      </c>
      <c r="X45" s="24">
        <f t="shared" si="4"/>
        <v>3.3200000000000003</v>
      </c>
      <c r="Y45" s="24">
        <f t="shared" si="5"/>
        <v>1.4000000000000001</v>
      </c>
      <c r="Z45" s="24">
        <f t="shared" si="6"/>
        <v>1.6</v>
      </c>
      <c r="AA45" s="24">
        <f t="shared" si="7"/>
        <v>3</v>
      </c>
      <c r="AB45" s="24">
        <f t="shared" si="8"/>
        <v>2.7333333333333334</v>
      </c>
      <c r="AC45" s="24">
        <f t="shared" si="9"/>
        <v>1</v>
      </c>
      <c r="AD45" s="24">
        <f t="shared" si="10"/>
        <v>3</v>
      </c>
      <c r="AE45" s="24">
        <f t="shared" si="11"/>
        <v>0</v>
      </c>
      <c r="AF45" s="24">
        <f t="shared" si="12"/>
        <v>1</v>
      </c>
      <c r="AG45" s="24">
        <f t="shared" si="13"/>
        <v>1</v>
      </c>
      <c r="AH45" s="24">
        <f t="shared" si="14"/>
        <v>1</v>
      </c>
      <c r="AI45" s="24">
        <f t="shared" si="15"/>
        <v>1</v>
      </c>
      <c r="AJ45" s="24">
        <f t="shared" si="16"/>
        <v>1</v>
      </c>
      <c r="AK45" s="24">
        <f t="shared" si="17"/>
        <v>0</v>
      </c>
      <c r="AL45" s="24">
        <f t="shared" si="18"/>
        <v>0</v>
      </c>
      <c r="AM45" s="24">
        <f t="shared" si="19"/>
        <v>0</v>
      </c>
      <c r="AN45" s="24">
        <f t="shared" si="20"/>
        <v>4</v>
      </c>
      <c r="AO45" s="23">
        <f t="shared" si="22"/>
        <v>29.2</v>
      </c>
      <c r="AP45" s="24">
        <f t="shared" si="21"/>
        <v>25.1</v>
      </c>
    </row>
    <row r="46" spans="1:42" x14ac:dyDescent="0.25">
      <c r="A46" t="s">
        <v>301</v>
      </c>
      <c r="B46" t="s">
        <v>314</v>
      </c>
      <c r="C46" t="s">
        <v>27</v>
      </c>
      <c r="D46" s="5">
        <v>23205</v>
      </c>
      <c r="E46">
        <v>33.5</v>
      </c>
      <c r="F46">
        <v>0.05</v>
      </c>
      <c r="G46">
        <v>12</v>
      </c>
      <c r="H46">
        <v>6</v>
      </c>
      <c r="I46">
        <v>1304</v>
      </c>
      <c r="J46">
        <v>1</v>
      </c>
      <c r="K46" t="s">
        <v>304</v>
      </c>
      <c r="L46" s="5" cm="1">
        <f t="array" ref="L46">INDEX(DataValidation!$B$2:$B$11, _xlfn.XMATCH(K46, DataValidation!$A$2:$A$11))</f>
        <v>3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2</v>
      </c>
      <c r="W46" s="23">
        <f t="shared" si="3"/>
        <v>3.5726666666666667</v>
      </c>
      <c r="X46" s="24">
        <f t="shared" si="4"/>
        <v>2.66</v>
      </c>
      <c r="Y46" s="24">
        <f t="shared" si="5"/>
        <v>1</v>
      </c>
      <c r="Z46" s="24">
        <f t="shared" si="6"/>
        <v>2.4000000000000004</v>
      </c>
      <c r="AA46" s="24">
        <f t="shared" si="7"/>
        <v>3</v>
      </c>
      <c r="AB46" s="24">
        <f t="shared" si="8"/>
        <v>4.3466666666666667</v>
      </c>
      <c r="AC46" s="24">
        <f t="shared" si="9"/>
        <v>1</v>
      </c>
      <c r="AD46" s="24">
        <f t="shared" si="10"/>
        <v>3</v>
      </c>
      <c r="AE46" s="24">
        <f t="shared" si="11"/>
        <v>0</v>
      </c>
      <c r="AF46" s="24">
        <f t="shared" si="12"/>
        <v>1</v>
      </c>
      <c r="AG46" s="24">
        <f t="shared" si="13"/>
        <v>1</v>
      </c>
      <c r="AH46" s="24">
        <f t="shared" si="14"/>
        <v>1</v>
      </c>
      <c r="AI46" s="24">
        <f t="shared" si="15"/>
        <v>1</v>
      </c>
      <c r="AJ46" s="24">
        <f t="shared" si="16"/>
        <v>1</v>
      </c>
      <c r="AK46" s="24">
        <f t="shared" si="17"/>
        <v>0</v>
      </c>
      <c r="AL46" s="24">
        <f t="shared" si="18"/>
        <v>0</v>
      </c>
      <c r="AM46" s="24">
        <f t="shared" si="19"/>
        <v>0</v>
      </c>
      <c r="AN46" s="24">
        <f t="shared" si="20"/>
        <v>4</v>
      </c>
      <c r="AO46" s="23">
        <f t="shared" si="22"/>
        <v>30</v>
      </c>
      <c r="AP46" s="24">
        <f t="shared" si="21"/>
        <v>26.4</v>
      </c>
    </row>
    <row r="47" spans="1:42" x14ac:dyDescent="0.25">
      <c r="A47" t="s">
        <v>301</v>
      </c>
      <c r="B47" t="s">
        <v>315</v>
      </c>
      <c r="C47" t="s">
        <v>27</v>
      </c>
      <c r="D47" s="5">
        <v>20700</v>
      </c>
      <c r="E47">
        <v>33.5</v>
      </c>
      <c r="F47">
        <v>0.05</v>
      </c>
      <c r="G47">
        <v>4</v>
      </c>
      <c r="H47">
        <v>6</v>
      </c>
      <c r="I47">
        <v>1900</v>
      </c>
      <c r="J47">
        <v>1</v>
      </c>
      <c r="K47" t="s">
        <v>304</v>
      </c>
      <c r="L47" s="5" cm="1">
        <f t="array" ref="L47">INDEX(DataValidation!$B$2:$B$11, _xlfn.XMATCH(K47, DataValidation!$A$2:$A$11))</f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2</v>
      </c>
      <c r="W47" s="23">
        <f t="shared" si="3"/>
        <v>3.9066666666666667</v>
      </c>
      <c r="X47" s="24">
        <f t="shared" si="4"/>
        <v>2.66</v>
      </c>
      <c r="Y47" s="24">
        <f t="shared" si="5"/>
        <v>1</v>
      </c>
      <c r="Z47" s="24">
        <f t="shared" si="6"/>
        <v>0.8</v>
      </c>
      <c r="AA47" s="24">
        <f t="shared" si="7"/>
        <v>3</v>
      </c>
      <c r="AB47" s="24">
        <f t="shared" si="8"/>
        <v>6.3333333333333339</v>
      </c>
      <c r="AC47" s="24">
        <f t="shared" si="9"/>
        <v>1</v>
      </c>
      <c r="AD47" s="24">
        <f t="shared" si="10"/>
        <v>3</v>
      </c>
      <c r="AE47" s="24">
        <f t="shared" si="11"/>
        <v>0</v>
      </c>
      <c r="AF47" s="24">
        <f t="shared" si="12"/>
        <v>0</v>
      </c>
      <c r="AG47" s="24">
        <f t="shared" si="13"/>
        <v>0</v>
      </c>
      <c r="AH47" s="24">
        <f t="shared" si="14"/>
        <v>0</v>
      </c>
      <c r="AI47" s="24">
        <f t="shared" si="15"/>
        <v>0</v>
      </c>
      <c r="AJ47" s="24">
        <f t="shared" si="16"/>
        <v>0</v>
      </c>
      <c r="AK47" s="24">
        <f t="shared" si="17"/>
        <v>0</v>
      </c>
      <c r="AL47" s="24">
        <f t="shared" si="18"/>
        <v>0.5</v>
      </c>
      <c r="AM47" s="24">
        <f t="shared" si="19"/>
        <v>0</v>
      </c>
      <c r="AN47" s="24">
        <f t="shared" si="20"/>
        <v>4</v>
      </c>
      <c r="AO47" s="23">
        <f t="shared" si="22"/>
        <v>26.2</v>
      </c>
      <c r="AP47" s="24">
        <f t="shared" si="21"/>
        <v>22.3</v>
      </c>
    </row>
    <row r="48" spans="1:42" x14ac:dyDescent="0.25">
      <c r="A48" t="s">
        <v>301</v>
      </c>
      <c r="B48" t="s">
        <v>316</v>
      </c>
      <c r="C48" t="s">
        <v>27</v>
      </c>
      <c r="D48" s="5">
        <v>19160</v>
      </c>
      <c r="E48">
        <v>20</v>
      </c>
      <c r="F48">
        <v>0.03</v>
      </c>
      <c r="G48">
        <v>6</v>
      </c>
      <c r="H48">
        <v>6</v>
      </c>
      <c r="I48">
        <v>914</v>
      </c>
      <c r="J48">
        <v>1</v>
      </c>
      <c r="K48" t="s">
        <v>304</v>
      </c>
      <c r="L48" s="5" cm="1">
        <f t="array" ref="L48">INDEX(DataValidation!$B$2:$B$11, _xlfn.XMATCH(K48, DataValidation!$A$2:$A$11))</f>
        <v>3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2</v>
      </c>
      <c r="W48" s="23">
        <f t="shared" si="3"/>
        <v>4.1120000000000001</v>
      </c>
      <c r="X48" s="24">
        <f t="shared" si="4"/>
        <v>3.2</v>
      </c>
      <c r="Y48" s="24">
        <f t="shared" si="5"/>
        <v>1.4000000000000001</v>
      </c>
      <c r="Z48" s="24">
        <f t="shared" si="6"/>
        <v>1.2000000000000002</v>
      </c>
      <c r="AA48" s="24">
        <f t="shared" si="7"/>
        <v>3</v>
      </c>
      <c r="AB48" s="24">
        <f t="shared" si="8"/>
        <v>3.0466666666666669</v>
      </c>
      <c r="AC48" s="24">
        <f t="shared" si="9"/>
        <v>1</v>
      </c>
      <c r="AD48" s="24">
        <f t="shared" si="10"/>
        <v>3</v>
      </c>
      <c r="AE48" s="24">
        <f t="shared" si="11"/>
        <v>0</v>
      </c>
      <c r="AF48" s="24">
        <f t="shared" si="12"/>
        <v>1</v>
      </c>
      <c r="AG48" s="24">
        <f t="shared" si="13"/>
        <v>0</v>
      </c>
      <c r="AH48" s="24">
        <f t="shared" si="14"/>
        <v>0</v>
      </c>
      <c r="AI48" s="24">
        <f t="shared" si="15"/>
        <v>1</v>
      </c>
      <c r="AJ48" s="24">
        <f t="shared" si="16"/>
        <v>0</v>
      </c>
      <c r="AK48" s="24">
        <f t="shared" si="17"/>
        <v>0</v>
      </c>
      <c r="AL48" s="24">
        <f t="shared" si="18"/>
        <v>0.5</v>
      </c>
      <c r="AM48" s="24">
        <f t="shared" si="19"/>
        <v>0</v>
      </c>
      <c r="AN48" s="24">
        <f t="shared" si="20"/>
        <v>4</v>
      </c>
      <c r="AO48" s="23">
        <f t="shared" si="22"/>
        <v>26.5</v>
      </c>
      <c r="AP48" s="24">
        <f t="shared" si="21"/>
        <v>22.3</v>
      </c>
    </row>
    <row r="49" spans="1:42" x14ac:dyDescent="0.25">
      <c r="A49" t="s">
        <v>301</v>
      </c>
      <c r="B49" t="s">
        <v>317</v>
      </c>
      <c r="C49" t="s">
        <v>27</v>
      </c>
      <c r="D49" s="5">
        <v>28130</v>
      </c>
      <c r="E49">
        <v>37</v>
      </c>
      <c r="F49">
        <v>0.05</v>
      </c>
      <c r="G49">
        <v>12</v>
      </c>
      <c r="H49">
        <v>6</v>
      </c>
      <c r="I49">
        <v>1304</v>
      </c>
      <c r="J49">
        <v>1</v>
      </c>
      <c r="K49" t="s">
        <v>304</v>
      </c>
      <c r="L49" s="5" cm="1">
        <f t="array" ref="L49">INDEX(DataValidation!$B$2:$B$11, _xlfn.XMATCH(K49, DataValidation!$A$2:$A$11))</f>
        <v>3</v>
      </c>
      <c r="M49">
        <v>0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1</v>
      </c>
      <c r="U49">
        <v>0</v>
      </c>
      <c r="V49">
        <v>2</v>
      </c>
      <c r="W49" s="23">
        <f t="shared" si="3"/>
        <v>2.9159999999999999</v>
      </c>
      <c r="X49" s="24">
        <f t="shared" si="4"/>
        <v>2.52</v>
      </c>
      <c r="Y49" s="24">
        <f t="shared" si="5"/>
        <v>1</v>
      </c>
      <c r="Z49" s="24">
        <f t="shared" si="6"/>
        <v>2.4000000000000004</v>
      </c>
      <c r="AA49" s="24">
        <f t="shared" si="7"/>
        <v>3</v>
      </c>
      <c r="AB49" s="24">
        <f t="shared" si="8"/>
        <v>4.3466666666666667</v>
      </c>
      <c r="AC49" s="24">
        <f t="shared" si="9"/>
        <v>1</v>
      </c>
      <c r="AD49" s="24">
        <f t="shared" si="10"/>
        <v>3</v>
      </c>
      <c r="AE49" s="24">
        <f t="shared" si="11"/>
        <v>0</v>
      </c>
      <c r="AF49" s="24">
        <f t="shared" si="12"/>
        <v>1</v>
      </c>
      <c r="AG49" s="24">
        <f t="shared" si="13"/>
        <v>1</v>
      </c>
      <c r="AH49" s="24">
        <f t="shared" si="14"/>
        <v>1</v>
      </c>
      <c r="AI49" s="24">
        <f t="shared" si="15"/>
        <v>1</v>
      </c>
      <c r="AJ49" s="24">
        <f t="shared" si="16"/>
        <v>0</v>
      </c>
      <c r="AK49" s="24">
        <f t="shared" si="17"/>
        <v>0</v>
      </c>
      <c r="AL49" s="24">
        <f t="shared" si="18"/>
        <v>0.5</v>
      </c>
      <c r="AM49" s="24">
        <f t="shared" si="19"/>
        <v>0</v>
      </c>
      <c r="AN49" s="24">
        <f t="shared" si="20"/>
        <v>4</v>
      </c>
      <c r="AO49" s="23">
        <f t="shared" si="22"/>
        <v>28.7</v>
      </c>
      <c r="AP49" s="24">
        <f t="shared" si="21"/>
        <v>25.8</v>
      </c>
    </row>
    <row r="50" spans="1:42" x14ac:dyDescent="0.25">
      <c r="A50" t="s">
        <v>301</v>
      </c>
      <c r="B50" t="s">
        <v>318</v>
      </c>
      <c r="C50" t="s">
        <v>27</v>
      </c>
      <c r="D50" s="5">
        <v>30720</v>
      </c>
      <c r="E50">
        <v>60</v>
      </c>
      <c r="F50">
        <v>0.06</v>
      </c>
      <c r="G50">
        <v>20</v>
      </c>
      <c r="H50">
        <v>6</v>
      </c>
      <c r="I50">
        <v>1800</v>
      </c>
      <c r="J50">
        <v>1</v>
      </c>
      <c r="K50" t="s">
        <v>304</v>
      </c>
      <c r="L50" s="5" cm="1">
        <f t="array" ref="L50">INDEX(DataValidation!$B$2:$B$11, _xlfn.XMATCH(K50, DataValidation!$A$2:$A$11))</f>
        <v>3</v>
      </c>
      <c r="M50">
        <v>0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2</v>
      </c>
      <c r="W50" s="23">
        <f t="shared" si="3"/>
        <v>2.5706666666666669</v>
      </c>
      <c r="X50" s="24">
        <f t="shared" si="4"/>
        <v>1.6</v>
      </c>
      <c r="Y50" s="24">
        <f t="shared" si="5"/>
        <v>0.80000000000000016</v>
      </c>
      <c r="Z50" s="24">
        <f t="shared" si="6"/>
        <v>4</v>
      </c>
      <c r="AA50" s="24">
        <f t="shared" si="7"/>
        <v>3</v>
      </c>
      <c r="AB50" s="24">
        <f t="shared" si="8"/>
        <v>6</v>
      </c>
      <c r="AC50" s="24">
        <f t="shared" si="9"/>
        <v>1</v>
      </c>
      <c r="AD50" s="24">
        <f t="shared" si="10"/>
        <v>3</v>
      </c>
      <c r="AE50" s="24">
        <f t="shared" si="11"/>
        <v>0</v>
      </c>
      <c r="AF50" s="24">
        <f t="shared" si="12"/>
        <v>1</v>
      </c>
      <c r="AG50" s="24">
        <f t="shared" si="13"/>
        <v>0</v>
      </c>
      <c r="AH50" s="24">
        <f t="shared" si="14"/>
        <v>1</v>
      </c>
      <c r="AI50" s="24">
        <f t="shared" si="15"/>
        <v>1</v>
      </c>
      <c r="AJ50" s="24">
        <f t="shared" si="16"/>
        <v>0</v>
      </c>
      <c r="AK50" s="24">
        <f t="shared" si="17"/>
        <v>0</v>
      </c>
      <c r="AL50" s="24">
        <f t="shared" si="18"/>
        <v>0</v>
      </c>
      <c r="AM50" s="24">
        <f t="shared" si="19"/>
        <v>0</v>
      </c>
      <c r="AN50" s="24">
        <f t="shared" si="20"/>
        <v>4</v>
      </c>
      <c r="AO50" s="23">
        <f t="shared" si="22"/>
        <v>29</v>
      </c>
      <c r="AP50" s="24">
        <f t="shared" si="21"/>
        <v>26.4</v>
      </c>
    </row>
    <row r="51" spans="1:42" x14ac:dyDescent="0.25">
      <c r="A51" t="s">
        <v>24</v>
      </c>
      <c r="B51" t="s">
        <v>25</v>
      </c>
      <c r="C51" t="s">
        <v>27</v>
      </c>
      <c r="E51">
        <v>14</v>
      </c>
      <c r="F51">
        <v>0.03</v>
      </c>
      <c r="G51">
        <v>3</v>
      </c>
      <c r="H51">
        <v>6</v>
      </c>
      <c r="I51">
        <v>575.79999999999995</v>
      </c>
      <c r="J51">
        <v>1</v>
      </c>
      <c r="K51" t="s">
        <v>294</v>
      </c>
      <c r="L51" s="5" cm="1">
        <f t="array" ref="L51">INDEX(DataValidation!$B$2:$B$11, _xlfn.XMATCH(K51, DataValidation!$A$2:$A$11))</f>
        <v>1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 s="23">
        <f t="shared" si="3"/>
        <v>0</v>
      </c>
      <c r="X51" s="24">
        <f t="shared" si="4"/>
        <v>3.44</v>
      </c>
      <c r="Y51" s="24">
        <f t="shared" si="5"/>
        <v>1.4000000000000001</v>
      </c>
      <c r="Z51" s="24">
        <f t="shared" si="6"/>
        <v>0.60000000000000009</v>
      </c>
      <c r="AA51" s="24">
        <f t="shared" si="7"/>
        <v>3</v>
      </c>
      <c r="AB51" s="24">
        <f t="shared" si="8"/>
        <v>1.9193333333333333</v>
      </c>
      <c r="AC51" s="24">
        <f t="shared" si="9"/>
        <v>1</v>
      </c>
      <c r="AD51" s="24">
        <f t="shared" si="10"/>
        <v>1</v>
      </c>
      <c r="AE51" s="24">
        <f t="shared" si="11"/>
        <v>0</v>
      </c>
      <c r="AF51" s="24">
        <f t="shared" si="12"/>
        <v>1</v>
      </c>
      <c r="AG51" s="24">
        <f t="shared" si="13"/>
        <v>0</v>
      </c>
      <c r="AH51" s="24">
        <f t="shared" si="14"/>
        <v>0</v>
      </c>
      <c r="AI51" s="24">
        <f t="shared" si="15"/>
        <v>1</v>
      </c>
      <c r="AJ51" s="24">
        <f t="shared" si="16"/>
        <v>0</v>
      </c>
      <c r="AK51" s="24">
        <f t="shared" si="17"/>
        <v>0</v>
      </c>
      <c r="AL51" s="24">
        <f t="shared" si="18"/>
        <v>0</v>
      </c>
      <c r="AM51" s="24">
        <f t="shared" si="19"/>
        <v>0</v>
      </c>
      <c r="AN51" s="24">
        <f t="shared" si="20"/>
        <v>2</v>
      </c>
      <c r="AO51" s="23">
        <f t="shared" si="22"/>
        <v>16.399999999999999</v>
      </c>
      <c r="AP51" s="24">
        <f t="shared" si="21"/>
        <v>16.399999999999999</v>
      </c>
    </row>
    <row r="52" spans="1:42" x14ac:dyDescent="0.25">
      <c r="A52" t="s">
        <v>24</v>
      </c>
      <c r="B52" t="s">
        <v>26</v>
      </c>
      <c r="C52" t="s">
        <v>27</v>
      </c>
      <c r="E52">
        <v>14</v>
      </c>
      <c r="F52">
        <v>0.03</v>
      </c>
      <c r="G52">
        <v>3</v>
      </c>
      <c r="H52">
        <v>6</v>
      </c>
      <c r="I52">
        <v>575.79999999999995</v>
      </c>
      <c r="J52">
        <v>1</v>
      </c>
      <c r="K52" t="s">
        <v>294</v>
      </c>
      <c r="L52" s="5" cm="1">
        <f t="array" ref="L52">INDEX(DataValidation!$B$2:$B$11, _xlfn.XMATCH(K52, DataValidation!$A$2:$A$11))</f>
        <v>1</v>
      </c>
      <c r="M52">
        <v>1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 s="23">
        <f t="shared" si="3"/>
        <v>0</v>
      </c>
      <c r="X52" s="24">
        <f t="shared" si="4"/>
        <v>3.44</v>
      </c>
      <c r="Y52" s="24">
        <f t="shared" si="5"/>
        <v>1.4000000000000001</v>
      </c>
      <c r="Z52" s="24">
        <f t="shared" si="6"/>
        <v>0.60000000000000009</v>
      </c>
      <c r="AA52" s="24">
        <f t="shared" si="7"/>
        <v>3</v>
      </c>
      <c r="AB52" s="24">
        <f t="shared" si="8"/>
        <v>1.9193333333333333</v>
      </c>
      <c r="AC52" s="24">
        <f t="shared" si="9"/>
        <v>1</v>
      </c>
      <c r="AD52" s="24">
        <f t="shared" si="10"/>
        <v>1</v>
      </c>
      <c r="AE52" s="24">
        <f t="shared" si="11"/>
        <v>1</v>
      </c>
      <c r="AF52" s="24">
        <f t="shared" si="12"/>
        <v>1</v>
      </c>
      <c r="AG52" s="24">
        <f t="shared" si="13"/>
        <v>0</v>
      </c>
      <c r="AH52" s="24">
        <f t="shared" si="14"/>
        <v>0</v>
      </c>
      <c r="AI52" s="24">
        <f t="shared" si="15"/>
        <v>1</v>
      </c>
      <c r="AJ52" s="24">
        <f t="shared" si="16"/>
        <v>0</v>
      </c>
      <c r="AK52" s="24">
        <f t="shared" si="17"/>
        <v>0</v>
      </c>
      <c r="AL52" s="24">
        <f t="shared" si="18"/>
        <v>0</v>
      </c>
      <c r="AM52" s="24">
        <f t="shared" si="19"/>
        <v>0</v>
      </c>
      <c r="AN52" s="24">
        <f t="shared" si="20"/>
        <v>2</v>
      </c>
      <c r="AO52" s="23">
        <f t="shared" si="22"/>
        <v>17.399999999999999</v>
      </c>
      <c r="AP52" s="24">
        <f t="shared" si="21"/>
        <v>17.399999999999999</v>
      </c>
    </row>
    <row r="53" spans="1:42" x14ac:dyDescent="0.25">
      <c r="A53" t="s">
        <v>24</v>
      </c>
      <c r="B53" t="s">
        <v>29</v>
      </c>
      <c r="C53" t="s">
        <v>27</v>
      </c>
      <c r="E53">
        <v>21</v>
      </c>
      <c r="F53">
        <v>0.03</v>
      </c>
      <c r="G53">
        <v>5</v>
      </c>
      <c r="H53">
        <v>6</v>
      </c>
      <c r="I53">
        <v>919</v>
      </c>
      <c r="J53">
        <v>1</v>
      </c>
      <c r="K53" t="s">
        <v>294</v>
      </c>
      <c r="L53" s="5" cm="1">
        <f t="array" ref="L53">INDEX(DataValidation!$B$2:$B$11, _xlfn.XMATCH(K53, DataValidation!$A$2:$A$11))</f>
        <v>1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 s="23">
        <f t="shared" si="3"/>
        <v>0</v>
      </c>
      <c r="X53" s="24">
        <f t="shared" si="4"/>
        <v>3.16</v>
      </c>
      <c r="Y53" s="24">
        <f t="shared" si="5"/>
        <v>1.4000000000000001</v>
      </c>
      <c r="Z53" s="24">
        <f t="shared" si="6"/>
        <v>1</v>
      </c>
      <c r="AA53" s="24">
        <f t="shared" si="7"/>
        <v>3</v>
      </c>
      <c r="AB53" s="24">
        <f t="shared" si="8"/>
        <v>3.0633333333333335</v>
      </c>
      <c r="AC53" s="24">
        <f t="shared" si="9"/>
        <v>1</v>
      </c>
      <c r="AD53" s="24">
        <f t="shared" si="10"/>
        <v>1</v>
      </c>
      <c r="AE53" s="24">
        <f t="shared" si="11"/>
        <v>0</v>
      </c>
      <c r="AF53" s="24">
        <f t="shared" si="12"/>
        <v>1</v>
      </c>
      <c r="AG53" s="24">
        <f t="shared" si="13"/>
        <v>0</v>
      </c>
      <c r="AH53" s="24">
        <f t="shared" si="14"/>
        <v>0</v>
      </c>
      <c r="AI53" s="24">
        <f t="shared" si="15"/>
        <v>1</v>
      </c>
      <c r="AJ53" s="24">
        <f t="shared" si="16"/>
        <v>0</v>
      </c>
      <c r="AK53" s="24">
        <f t="shared" si="17"/>
        <v>0</v>
      </c>
      <c r="AL53" s="24">
        <f t="shared" si="18"/>
        <v>0</v>
      </c>
      <c r="AM53" s="24">
        <f t="shared" si="19"/>
        <v>0</v>
      </c>
      <c r="AN53" s="24">
        <f t="shared" si="20"/>
        <v>2</v>
      </c>
      <c r="AO53" s="23">
        <f t="shared" si="22"/>
        <v>17.600000000000001</v>
      </c>
      <c r="AP53" s="24">
        <f t="shared" si="21"/>
        <v>17.600000000000001</v>
      </c>
    </row>
    <row r="54" spans="1:42" x14ac:dyDescent="0.25">
      <c r="A54" t="s">
        <v>24</v>
      </c>
      <c r="B54" t="s">
        <v>30</v>
      </c>
      <c r="C54" t="s">
        <v>27</v>
      </c>
      <c r="E54">
        <v>21</v>
      </c>
      <c r="F54">
        <v>0.03</v>
      </c>
      <c r="G54">
        <v>5</v>
      </c>
      <c r="H54">
        <v>6</v>
      </c>
      <c r="I54">
        <v>919</v>
      </c>
      <c r="J54">
        <v>1</v>
      </c>
      <c r="K54" t="s">
        <v>294</v>
      </c>
      <c r="L54" s="5" cm="1">
        <f t="array" ref="L54">INDEX(DataValidation!$B$2:$B$11, _xlfn.XMATCH(K54, DataValidation!$A$2:$A$11))</f>
        <v>1</v>
      </c>
      <c r="M54">
        <v>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 s="23">
        <f t="shared" si="3"/>
        <v>0</v>
      </c>
      <c r="X54" s="24">
        <f t="shared" si="4"/>
        <v>3.16</v>
      </c>
      <c r="Y54" s="24">
        <f t="shared" si="5"/>
        <v>1.4000000000000001</v>
      </c>
      <c r="Z54" s="24">
        <f t="shared" si="6"/>
        <v>1</v>
      </c>
      <c r="AA54" s="24">
        <f t="shared" si="7"/>
        <v>3</v>
      </c>
      <c r="AB54" s="24">
        <f t="shared" si="8"/>
        <v>3.0633333333333335</v>
      </c>
      <c r="AC54" s="24">
        <f t="shared" si="9"/>
        <v>1</v>
      </c>
      <c r="AD54" s="24">
        <f t="shared" si="10"/>
        <v>1</v>
      </c>
      <c r="AE54" s="24">
        <f t="shared" si="11"/>
        <v>1</v>
      </c>
      <c r="AF54" s="24">
        <f t="shared" si="12"/>
        <v>1</v>
      </c>
      <c r="AG54" s="24">
        <f t="shared" si="13"/>
        <v>0</v>
      </c>
      <c r="AH54" s="24">
        <f t="shared" si="14"/>
        <v>0</v>
      </c>
      <c r="AI54" s="24">
        <f t="shared" si="15"/>
        <v>1</v>
      </c>
      <c r="AJ54" s="24">
        <f t="shared" si="16"/>
        <v>0</v>
      </c>
      <c r="AK54" s="24">
        <f t="shared" si="17"/>
        <v>0</v>
      </c>
      <c r="AL54" s="24">
        <f t="shared" si="18"/>
        <v>0</v>
      </c>
      <c r="AM54" s="24">
        <f t="shared" si="19"/>
        <v>0</v>
      </c>
      <c r="AN54" s="24">
        <f t="shared" si="20"/>
        <v>2</v>
      </c>
      <c r="AO54" s="23">
        <f t="shared" si="22"/>
        <v>18.600000000000001</v>
      </c>
      <c r="AP54" s="24">
        <f t="shared" si="21"/>
        <v>18.600000000000001</v>
      </c>
    </row>
    <row r="55" spans="1:42" x14ac:dyDescent="0.25">
      <c r="A55" t="s">
        <v>24</v>
      </c>
      <c r="B55" t="s">
        <v>31</v>
      </c>
      <c r="C55" t="s">
        <v>27</v>
      </c>
      <c r="E55">
        <v>37</v>
      </c>
      <c r="F55">
        <v>0.03</v>
      </c>
      <c r="G55">
        <v>10</v>
      </c>
      <c r="H55">
        <v>6</v>
      </c>
      <c r="I55">
        <v>1400</v>
      </c>
      <c r="J55">
        <v>1</v>
      </c>
      <c r="K55" t="s">
        <v>294</v>
      </c>
      <c r="L55" s="5" cm="1">
        <f t="array" ref="L55">INDEX(DataValidation!$B$2:$B$11, _xlfn.XMATCH(K55, DataValidation!$A$2:$A$11))</f>
        <v>1</v>
      </c>
      <c r="M55">
        <v>0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 s="23">
        <f t="shared" si="3"/>
        <v>0</v>
      </c>
      <c r="X55" s="24">
        <f t="shared" si="4"/>
        <v>2.52</v>
      </c>
      <c r="Y55" s="24">
        <f t="shared" si="5"/>
        <v>1.4000000000000001</v>
      </c>
      <c r="Z55" s="24">
        <f t="shared" si="6"/>
        <v>2</v>
      </c>
      <c r="AA55" s="24">
        <f t="shared" si="7"/>
        <v>3</v>
      </c>
      <c r="AB55" s="24">
        <f t="shared" si="8"/>
        <v>4.666666666666667</v>
      </c>
      <c r="AC55" s="24">
        <f t="shared" si="9"/>
        <v>1</v>
      </c>
      <c r="AD55" s="24">
        <f t="shared" si="10"/>
        <v>1</v>
      </c>
      <c r="AE55" s="24">
        <f t="shared" si="11"/>
        <v>0</v>
      </c>
      <c r="AF55" s="24">
        <f t="shared" si="12"/>
        <v>1</v>
      </c>
      <c r="AG55" s="24">
        <f t="shared" si="13"/>
        <v>0</v>
      </c>
      <c r="AH55" s="24">
        <f t="shared" si="14"/>
        <v>0</v>
      </c>
      <c r="AI55" s="24">
        <f t="shared" si="15"/>
        <v>1</v>
      </c>
      <c r="AJ55" s="24">
        <f t="shared" si="16"/>
        <v>0</v>
      </c>
      <c r="AK55" s="24">
        <f t="shared" si="17"/>
        <v>0</v>
      </c>
      <c r="AL55" s="24">
        <f t="shared" si="18"/>
        <v>0</v>
      </c>
      <c r="AM55" s="24">
        <f t="shared" si="19"/>
        <v>0</v>
      </c>
      <c r="AN55" s="24">
        <f t="shared" si="20"/>
        <v>2</v>
      </c>
      <c r="AO55" s="23">
        <f t="shared" si="22"/>
        <v>19.600000000000001</v>
      </c>
      <c r="AP55" s="24">
        <f t="shared" si="21"/>
        <v>19.600000000000001</v>
      </c>
    </row>
    <row r="56" spans="1:42" x14ac:dyDescent="0.25">
      <c r="A56" t="s">
        <v>24</v>
      </c>
      <c r="B56" t="s">
        <v>32</v>
      </c>
      <c r="C56" t="s">
        <v>27</v>
      </c>
      <c r="E56">
        <v>37</v>
      </c>
      <c r="F56">
        <v>0.03</v>
      </c>
      <c r="G56">
        <v>10</v>
      </c>
      <c r="H56">
        <v>6</v>
      </c>
      <c r="I56">
        <v>1400</v>
      </c>
      <c r="J56">
        <v>1</v>
      </c>
      <c r="K56" t="s">
        <v>294</v>
      </c>
      <c r="L56" s="5" cm="1">
        <f t="array" ref="L56">INDEX(DataValidation!$B$2:$B$11, _xlfn.XMATCH(K56, DataValidation!$A$2:$A$11))</f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 s="23">
        <f t="shared" si="3"/>
        <v>0</v>
      </c>
      <c r="X56" s="24">
        <f t="shared" si="4"/>
        <v>2.52</v>
      </c>
      <c r="Y56" s="24">
        <f t="shared" si="5"/>
        <v>1.4000000000000001</v>
      </c>
      <c r="Z56" s="24">
        <f t="shared" si="6"/>
        <v>2</v>
      </c>
      <c r="AA56" s="24">
        <f t="shared" si="7"/>
        <v>3</v>
      </c>
      <c r="AB56" s="24">
        <f t="shared" si="8"/>
        <v>4.666666666666667</v>
      </c>
      <c r="AC56" s="24">
        <f t="shared" si="9"/>
        <v>1</v>
      </c>
      <c r="AD56" s="24">
        <f t="shared" si="10"/>
        <v>1</v>
      </c>
      <c r="AE56" s="24">
        <f t="shared" si="11"/>
        <v>1</v>
      </c>
      <c r="AF56" s="24">
        <f t="shared" si="12"/>
        <v>1</v>
      </c>
      <c r="AG56" s="24">
        <f t="shared" si="13"/>
        <v>0</v>
      </c>
      <c r="AH56" s="24">
        <f t="shared" si="14"/>
        <v>0</v>
      </c>
      <c r="AI56" s="24">
        <f t="shared" si="15"/>
        <v>1</v>
      </c>
      <c r="AJ56" s="24">
        <f t="shared" si="16"/>
        <v>0</v>
      </c>
      <c r="AK56" s="24">
        <f t="shared" si="17"/>
        <v>0</v>
      </c>
      <c r="AL56" s="24">
        <f t="shared" si="18"/>
        <v>0</v>
      </c>
      <c r="AM56" s="24">
        <f t="shared" si="19"/>
        <v>0</v>
      </c>
      <c r="AN56" s="24">
        <f t="shared" si="20"/>
        <v>2</v>
      </c>
      <c r="AO56" s="23">
        <f t="shared" si="22"/>
        <v>20.6</v>
      </c>
      <c r="AP56" s="24">
        <f t="shared" si="21"/>
        <v>20.6</v>
      </c>
    </row>
    <row r="57" spans="1:42" x14ac:dyDescent="0.25">
      <c r="A57" t="s">
        <v>24</v>
      </c>
      <c r="B57" t="s">
        <v>33</v>
      </c>
      <c r="C57" t="s">
        <v>27</v>
      </c>
      <c r="E57">
        <v>58</v>
      </c>
      <c r="F57">
        <v>0.1</v>
      </c>
      <c r="G57">
        <v>20</v>
      </c>
      <c r="H57">
        <v>6</v>
      </c>
      <c r="I57">
        <v>1777.5</v>
      </c>
      <c r="J57">
        <v>1</v>
      </c>
      <c r="K57" t="s">
        <v>294</v>
      </c>
      <c r="L57" s="5" cm="1">
        <f t="array" ref="L57">INDEX(DataValidation!$B$2:$B$11, _xlfn.XMATCH(K57, DataValidation!$A$2:$A$11))</f>
        <v>1</v>
      </c>
      <c r="M57">
        <v>0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 s="23">
        <f t="shared" si="3"/>
        <v>0</v>
      </c>
      <c r="X57" s="24">
        <f t="shared" si="4"/>
        <v>1.68</v>
      </c>
      <c r="Y57" s="24">
        <f t="shared" si="5"/>
        <v>0</v>
      </c>
      <c r="Z57" s="24">
        <f t="shared" si="6"/>
        <v>4</v>
      </c>
      <c r="AA57" s="24">
        <f t="shared" si="7"/>
        <v>3</v>
      </c>
      <c r="AB57" s="24">
        <f t="shared" si="8"/>
        <v>5.9250000000000007</v>
      </c>
      <c r="AC57" s="24">
        <f t="shared" si="9"/>
        <v>1</v>
      </c>
      <c r="AD57" s="24">
        <f t="shared" si="10"/>
        <v>1</v>
      </c>
      <c r="AE57" s="24">
        <f t="shared" si="11"/>
        <v>0</v>
      </c>
      <c r="AF57" s="24">
        <f t="shared" si="12"/>
        <v>1</v>
      </c>
      <c r="AG57" s="24">
        <f t="shared" si="13"/>
        <v>0</v>
      </c>
      <c r="AH57" s="24">
        <f t="shared" si="14"/>
        <v>0</v>
      </c>
      <c r="AI57" s="24">
        <f t="shared" si="15"/>
        <v>1</v>
      </c>
      <c r="AJ57" s="24">
        <f t="shared" si="16"/>
        <v>0</v>
      </c>
      <c r="AK57" s="24">
        <f t="shared" si="17"/>
        <v>0</v>
      </c>
      <c r="AL57" s="24">
        <f t="shared" si="18"/>
        <v>0</v>
      </c>
      <c r="AM57" s="24">
        <f t="shared" si="19"/>
        <v>0</v>
      </c>
      <c r="AN57" s="24">
        <f t="shared" si="20"/>
        <v>2</v>
      </c>
      <c r="AO57" s="23">
        <f t="shared" si="22"/>
        <v>20.6</v>
      </c>
      <c r="AP57" s="24">
        <f t="shared" si="21"/>
        <v>20.6</v>
      </c>
    </row>
    <row r="58" spans="1:42" x14ac:dyDescent="0.25">
      <c r="A58" t="s">
        <v>24</v>
      </c>
      <c r="B58" t="s">
        <v>34</v>
      </c>
      <c r="C58" t="s">
        <v>27</v>
      </c>
      <c r="E58">
        <v>58</v>
      </c>
      <c r="F58">
        <v>0.1</v>
      </c>
      <c r="G58">
        <v>20</v>
      </c>
      <c r="H58">
        <v>6</v>
      </c>
      <c r="I58">
        <v>1777.5</v>
      </c>
      <c r="J58">
        <v>1</v>
      </c>
      <c r="K58" t="s">
        <v>294</v>
      </c>
      <c r="L58" s="5" cm="1">
        <f t="array" ref="L58">INDEX(DataValidation!$B$2:$B$11, _xlfn.XMATCH(K58, DataValidation!$A$2:$A$11))</f>
        <v>1</v>
      </c>
      <c r="M58">
        <v>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 s="23">
        <f t="shared" si="3"/>
        <v>0</v>
      </c>
      <c r="X58" s="24">
        <f t="shared" si="4"/>
        <v>1.68</v>
      </c>
      <c r="Y58" s="24">
        <f t="shared" si="5"/>
        <v>0</v>
      </c>
      <c r="Z58" s="24">
        <f t="shared" si="6"/>
        <v>4</v>
      </c>
      <c r="AA58" s="24">
        <f t="shared" si="7"/>
        <v>3</v>
      </c>
      <c r="AB58" s="24">
        <f t="shared" si="8"/>
        <v>5.9250000000000007</v>
      </c>
      <c r="AC58" s="24">
        <f t="shared" si="9"/>
        <v>1</v>
      </c>
      <c r="AD58" s="24">
        <f t="shared" si="10"/>
        <v>1</v>
      </c>
      <c r="AE58" s="24">
        <f t="shared" si="11"/>
        <v>1</v>
      </c>
      <c r="AF58" s="24">
        <f t="shared" si="12"/>
        <v>1</v>
      </c>
      <c r="AG58" s="24">
        <f t="shared" si="13"/>
        <v>0</v>
      </c>
      <c r="AH58" s="24">
        <f t="shared" si="14"/>
        <v>0</v>
      </c>
      <c r="AI58" s="24">
        <f t="shared" si="15"/>
        <v>1</v>
      </c>
      <c r="AJ58" s="24">
        <f t="shared" si="16"/>
        <v>0</v>
      </c>
      <c r="AK58" s="24">
        <f t="shared" si="17"/>
        <v>0</v>
      </c>
      <c r="AL58" s="24">
        <f t="shared" si="18"/>
        <v>0</v>
      </c>
      <c r="AM58" s="24">
        <f t="shared" si="19"/>
        <v>0</v>
      </c>
      <c r="AN58" s="24">
        <f t="shared" si="20"/>
        <v>2</v>
      </c>
      <c r="AO58" s="23">
        <f t="shared" si="22"/>
        <v>21.6</v>
      </c>
      <c r="AP58" s="24">
        <f t="shared" si="21"/>
        <v>21.6</v>
      </c>
    </row>
    <row r="59" spans="1:42" x14ac:dyDescent="0.25">
      <c r="A59" t="s">
        <v>324</v>
      </c>
      <c r="B59" t="s">
        <v>325</v>
      </c>
      <c r="C59" t="s">
        <v>326</v>
      </c>
      <c r="D59" s="5">
        <v>26590</v>
      </c>
      <c r="E59">
        <v>16</v>
      </c>
      <c r="F59">
        <v>0.1</v>
      </c>
      <c r="G59">
        <v>5</v>
      </c>
      <c r="H59">
        <v>6</v>
      </c>
      <c r="I59">
        <v>900</v>
      </c>
      <c r="J59">
        <v>1</v>
      </c>
      <c r="K59" t="s">
        <v>304</v>
      </c>
      <c r="L59" s="5" cm="1">
        <f t="array" ref="L59">INDEX(DataValidation!$B$2:$B$11, _xlfn.XMATCH(K59, DataValidation!$A$2:$A$11))</f>
        <v>3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2</v>
      </c>
      <c r="W59" s="23">
        <f t="shared" si="3"/>
        <v>3.1213333333333333</v>
      </c>
      <c r="X59" s="24">
        <f t="shared" si="4"/>
        <v>3.36</v>
      </c>
      <c r="Y59" s="24">
        <f t="shared" si="5"/>
        <v>0</v>
      </c>
      <c r="Z59" s="24">
        <f t="shared" si="6"/>
        <v>1</v>
      </c>
      <c r="AA59" s="24">
        <f t="shared" si="7"/>
        <v>3</v>
      </c>
      <c r="AB59" s="24">
        <f t="shared" si="8"/>
        <v>3</v>
      </c>
      <c r="AC59" s="24">
        <f t="shared" si="9"/>
        <v>1</v>
      </c>
      <c r="AD59" s="24">
        <f t="shared" si="10"/>
        <v>3</v>
      </c>
      <c r="AE59" s="24">
        <f t="shared" si="11"/>
        <v>0</v>
      </c>
      <c r="AF59" s="24">
        <f t="shared" si="12"/>
        <v>1</v>
      </c>
      <c r="AG59" s="24">
        <f t="shared" si="13"/>
        <v>0</v>
      </c>
      <c r="AH59" s="24">
        <f t="shared" si="14"/>
        <v>0</v>
      </c>
      <c r="AI59" s="24">
        <f t="shared" si="15"/>
        <v>1</v>
      </c>
      <c r="AJ59" s="24">
        <f t="shared" si="16"/>
        <v>0</v>
      </c>
      <c r="AK59" s="24">
        <f t="shared" si="17"/>
        <v>0</v>
      </c>
      <c r="AL59" s="24">
        <f t="shared" si="18"/>
        <v>0</v>
      </c>
      <c r="AM59" s="24">
        <f t="shared" si="19"/>
        <v>0</v>
      </c>
      <c r="AN59" s="24">
        <f t="shared" si="20"/>
        <v>4</v>
      </c>
      <c r="AO59" s="23">
        <f t="shared" si="22"/>
        <v>23.5</v>
      </c>
      <c r="AP59" s="24">
        <f t="shared" si="21"/>
        <v>20.399999999999999</v>
      </c>
    </row>
    <row r="60" spans="1:42" x14ac:dyDescent="0.25">
      <c r="A60" t="s">
        <v>3</v>
      </c>
      <c r="B60" t="s">
        <v>109</v>
      </c>
      <c r="C60" t="s">
        <v>54</v>
      </c>
      <c r="D60" s="5">
        <v>32000</v>
      </c>
      <c r="E60">
        <v>25</v>
      </c>
      <c r="F60">
        <v>0.03</v>
      </c>
      <c r="G60">
        <v>5</v>
      </c>
      <c r="H60">
        <v>6</v>
      </c>
      <c r="I60">
        <v>994</v>
      </c>
      <c r="J60">
        <v>1</v>
      </c>
      <c r="K60" t="s">
        <v>304</v>
      </c>
      <c r="L60" s="5" cm="1">
        <f t="array" ref="L60">INDEX(DataValidation!$B$2:$B$11, _xlfn.XMATCH(K60, DataValidation!$A$2:$A$11))</f>
        <v>3</v>
      </c>
      <c r="M60">
        <v>0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2</v>
      </c>
      <c r="W60" s="23">
        <f t="shared" si="3"/>
        <v>2.4</v>
      </c>
      <c r="X60" s="24">
        <f t="shared" si="4"/>
        <v>3</v>
      </c>
      <c r="Y60" s="24">
        <f t="shared" si="5"/>
        <v>1.4000000000000001</v>
      </c>
      <c r="Z60" s="24">
        <f t="shared" si="6"/>
        <v>1</v>
      </c>
      <c r="AA60" s="24">
        <f t="shared" si="7"/>
        <v>3</v>
      </c>
      <c r="AB60" s="24">
        <f t="shared" si="8"/>
        <v>3.3133333333333335</v>
      </c>
      <c r="AC60" s="24">
        <f t="shared" si="9"/>
        <v>1</v>
      </c>
      <c r="AD60" s="24">
        <f t="shared" si="10"/>
        <v>3</v>
      </c>
      <c r="AE60" s="24">
        <f t="shared" si="11"/>
        <v>0</v>
      </c>
      <c r="AF60" s="24">
        <f t="shared" si="12"/>
        <v>1</v>
      </c>
      <c r="AG60" s="24">
        <f t="shared" si="13"/>
        <v>0</v>
      </c>
      <c r="AH60" s="24">
        <f t="shared" si="14"/>
        <v>1</v>
      </c>
      <c r="AI60" s="24">
        <f t="shared" si="15"/>
        <v>1</v>
      </c>
      <c r="AJ60" s="24">
        <f t="shared" si="16"/>
        <v>0</v>
      </c>
      <c r="AK60" s="24">
        <f t="shared" si="17"/>
        <v>0</v>
      </c>
      <c r="AL60" s="24">
        <f t="shared" si="18"/>
        <v>0</v>
      </c>
      <c r="AM60" s="24">
        <f t="shared" si="19"/>
        <v>0</v>
      </c>
      <c r="AN60" s="24">
        <f t="shared" si="20"/>
        <v>4</v>
      </c>
      <c r="AO60" s="23">
        <f t="shared" si="22"/>
        <v>25.1</v>
      </c>
      <c r="AP60" s="24">
        <f t="shared" si="21"/>
        <v>22.7</v>
      </c>
    </row>
    <row r="61" spans="1:42" x14ac:dyDescent="0.25">
      <c r="A61" t="s">
        <v>3</v>
      </c>
      <c r="B61" t="s">
        <v>110</v>
      </c>
      <c r="C61" t="s">
        <v>54</v>
      </c>
      <c r="D61" s="5">
        <v>37000</v>
      </c>
      <c r="E61">
        <v>40</v>
      </c>
      <c r="F61">
        <v>0.04</v>
      </c>
      <c r="G61">
        <v>10</v>
      </c>
      <c r="H61">
        <v>6</v>
      </c>
      <c r="I61">
        <v>1249</v>
      </c>
      <c r="J61">
        <v>1</v>
      </c>
      <c r="K61" t="s">
        <v>304</v>
      </c>
      <c r="L61" s="5" cm="1">
        <f t="array" ref="L61">INDEX(DataValidation!$B$2:$B$11, _xlfn.XMATCH(K61, DataValidation!$A$2:$A$11))</f>
        <v>3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2</v>
      </c>
      <c r="W61" s="23">
        <f t="shared" si="3"/>
        <v>1.7333333333333334</v>
      </c>
      <c r="X61" s="24">
        <f t="shared" si="4"/>
        <v>2.4</v>
      </c>
      <c r="Y61" s="24">
        <f t="shared" si="5"/>
        <v>1.2000000000000002</v>
      </c>
      <c r="Z61" s="24">
        <f t="shared" si="6"/>
        <v>2</v>
      </c>
      <c r="AA61" s="24">
        <f t="shared" si="7"/>
        <v>3</v>
      </c>
      <c r="AB61" s="24">
        <f t="shared" si="8"/>
        <v>4.163333333333334</v>
      </c>
      <c r="AC61" s="24">
        <f t="shared" si="9"/>
        <v>1</v>
      </c>
      <c r="AD61" s="24">
        <f t="shared" si="10"/>
        <v>3</v>
      </c>
      <c r="AE61" s="24">
        <f t="shared" si="11"/>
        <v>0</v>
      </c>
      <c r="AF61" s="24">
        <f t="shared" si="12"/>
        <v>1</v>
      </c>
      <c r="AG61" s="24">
        <f t="shared" si="13"/>
        <v>1</v>
      </c>
      <c r="AH61" s="24">
        <f t="shared" si="14"/>
        <v>1</v>
      </c>
      <c r="AI61" s="24">
        <f t="shared" si="15"/>
        <v>1</v>
      </c>
      <c r="AJ61" s="24">
        <f t="shared" si="16"/>
        <v>1</v>
      </c>
      <c r="AK61" s="24">
        <f t="shared" si="17"/>
        <v>0</v>
      </c>
      <c r="AL61" s="24">
        <f t="shared" si="18"/>
        <v>0.5</v>
      </c>
      <c r="AM61" s="24">
        <f t="shared" si="19"/>
        <v>0</v>
      </c>
      <c r="AN61" s="24">
        <f t="shared" si="20"/>
        <v>4</v>
      </c>
      <c r="AO61" s="23">
        <f t="shared" si="22"/>
        <v>28</v>
      </c>
      <c r="AP61" s="24">
        <f t="shared" si="21"/>
        <v>26.3</v>
      </c>
    </row>
    <row r="62" spans="1:42" x14ac:dyDescent="0.25">
      <c r="A62" t="s">
        <v>3</v>
      </c>
      <c r="B62" t="s">
        <v>111</v>
      </c>
      <c r="C62" t="s">
        <v>54</v>
      </c>
      <c r="D62" s="5">
        <v>38500</v>
      </c>
      <c r="E62">
        <v>40</v>
      </c>
      <c r="F62">
        <v>0.04</v>
      </c>
      <c r="G62">
        <v>10</v>
      </c>
      <c r="H62">
        <v>6</v>
      </c>
      <c r="I62">
        <v>1418</v>
      </c>
      <c r="J62">
        <v>1</v>
      </c>
      <c r="K62" t="s">
        <v>304</v>
      </c>
      <c r="L62" s="5" cm="1">
        <f t="array" ref="L62">INDEX(DataValidation!$B$2:$B$11, _xlfn.XMATCH(K62, DataValidation!$A$2:$A$11))</f>
        <v>3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>
        <v>0</v>
      </c>
      <c r="V62">
        <v>2</v>
      </c>
      <c r="W62" s="23">
        <f t="shared" si="3"/>
        <v>1.5333333333333334</v>
      </c>
      <c r="X62" s="24">
        <f t="shared" si="4"/>
        <v>2.4</v>
      </c>
      <c r="Y62" s="24">
        <f t="shared" si="5"/>
        <v>1.2000000000000002</v>
      </c>
      <c r="Z62" s="24">
        <f t="shared" si="6"/>
        <v>2</v>
      </c>
      <c r="AA62" s="24">
        <f t="shared" si="7"/>
        <v>3</v>
      </c>
      <c r="AB62" s="24">
        <f t="shared" si="8"/>
        <v>4.7266666666666666</v>
      </c>
      <c r="AC62" s="24">
        <f t="shared" si="9"/>
        <v>1</v>
      </c>
      <c r="AD62" s="24">
        <f t="shared" si="10"/>
        <v>3</v>
      </c>
      <c r="AE62" s="24">
        <f t="shared" si="11"/>
        <v>0</v>
      </c>
      <c r="AF62" s="24">
        <f t="shared" si="12"/>
        <v>1</v>
      </c>
      <c r="AG62" s="24">
        <f t="shared" si="13"/>
        <v>1</v>
      </c>
      <c r="AH62" s="24">
        <f t="shared" si="14"/>
        <v>1</v>
      </c>
      <c r="AI62" s="24">
        <f t="shared" si="15"/>
        <v>1</v>
      </c>
      <c r="AJ62" s="24">
        <f t="shared" si="16"/>
        <v>1</v>
      </c>
      <c r="AK62" s="24">
        <f t="shared" si="17"/>
        <v>0</v>
      </c>
      <c r="AL62" s="24">
        <f t="shared" si="18"/>
        <v>0.5</v>
      </c>
      <c r="AM62" s="24">
        <f t="shared" si="19"/>
        <v>0</v>
      </c>
      <c r="AN62" s="24">
        <f t="shared" si="20"/>
        <v>4</v>
      </c>
      <c r="AO62" s="23">
        <f t="shared" si="22"/>
        <v>28.4</v>
      </c>
      <c r="AP62" s="24">
        <f t="shared" si="21"/>
        <v>26.8</v>
      </c>
    </row>
    <row r="63" spans="1:42" x14ac:dyDescent="0.25">
      <c r="A63" t="s">
        <v>3</v>
      </c>
      <c r="B63" t="s">
        <v>112</v>
      </c>
      <c r="C63" t="s">
        <v>54</v>
      </c>
      <c r="D63" s="5">
        <v>45000</v>
      </c>
      <c r="E63">
        <v>41</v>
      </c>
      <c r="F63">
        <v>0.04</v>
      </c>
      <c r="G63">
        <v>20</v>
      </c>
      <c r="H63">
        <v>6</v>
      </c>
      <c r="I63">
        <v>1418</v>
      </c>
      <c r="J63">
        <v>1</v>
      </c>
      <c r="K63" t="s">
        <v>304</v>
      </c>
      <c r="L63" s="5" cm="1">
        <f t="array" ref="L63">INDEX(DataValidation!$B$2:$B$11, _xlfn.XMATCH(K63, DataValidation!$A$2:$A$11))</f>
        <v>3</v>
      </c>
      <c r="M63">
        <v>0</v>
      </c>
      <c r="N63">
        <v>1</v>
      </c>
      <c r="O63">
        <v>1</v>
      </c>
      <c r="P63">
        <v>1</v>
      </c>
      <c r="Q63">
        <v>1</v>
      </c>
      <c r="R63">
        <v>1</v>
      </c>
      <c r="S63">
        <v>0</v>
      </c>
      <c r="T63">
        <v>1</v>
      </c>
      <c r="U63">
        <v>0</v>
      </c>
      <c r="V63">
        <v>2</v>
      </c>
      <c r="W63" s="23">
        <f t="shared" si="3"/>
        <v>0.66666666666666674</v>
      </c>
      <c r="X63" s="24">
        <f t="shared" si="4"/>
        <v>2.36</v>
      </c>
      <c r="Y63" s="24">
        <f t="shared" si="5"/>
        <v>1.2000000000000002</v>
      </c>
      <c r="Z63" s="24">
        <f t="shared" si="6"/>
        <v>4</v>
      </c>
      <c r="AA63" s="24">
        <f t="shared" si="7"/>
        <v>3</v>
      </c>
      <c r="AB63" s="24">
        <f t="shared" si="8"/>
        <v>4.7266666666666666</v>
      </c>
      <c r="AC63" s="24">
        <f t="shared" si="9"/>
        <v>1</v>
      </c>
      <c r="AD63" s="24">
        <f t="shared" si="10"/>
        <v>3</v>
      </c>
      <c r="AE63" s="24">
        <f t="shared" si="11"/>
        <v>0</v>
      </c>
      <c r="AF63" s="24">
        <f t="shared" si="12"/>
        <v>1</v>
      </c>
      <c r="AG63" s="24">
        <f t="shared" si="13"/>
        <v>1</v>
      </c>
      <c r="AH63" s="24">
        <f t="shared" si="14"/>
        <v>1</v>
      </c>
      <c r="AI63" s="24">
        <f t="shared" si="15"/>
        <v>1</v>
      </c>
      <c r="AJ63" s="24">
        <f t="shared" si="16"/>
        <v>1</v>
      </c>
      <c r="AK63" s="24">
        <f t="shared" si="17"/>
        <v>0</v>
      </c>
      <c r="AL63" s="24">
        <f t="shared" si="18"/>
        <v>0.5</v>
      </c>
      <c r="AM63" s="24">
        <f t="shared" si="19"/>
        <v>0</v>
      </c>
      <c r="AN63" s="24">
        <f t="shared" si="20"/>
        <v>4</v>
      </c>
      <c r="AO63" s="23">
        <f t="shared" si="22"/>
        <v>29.5</v>
      </c>
      <c r="AP63" s="24">
        <f t="shared" si="21"/>
        <v>28.8</v>
      </c>
    </row>
    <row r="64" spans="1:42" x14ac:dyDescent="0.25">
      <c r="A64" t="s">
        <v>3</v>
      </c>
      <c r="B64" t="s">
        <v>328</v>
      </c>
      <c r="C64" t="s">
        <v>54</v>
      </c>
      <c r="D64" s="5">
        <v>52000</v>
      </c>
      <c r="E64">
        <v>135</v>
      </c>
      <c r="F64">
        <v>0.05</v>
      </c>
      <c r="G64">
        <v>30</v>
      </c>
      <c r="H64">
        <v>6</v>
      </c>
      <c r="I64">
        <v>1889</v>
      </c>
      <c r="J64">
        <v>1</v>
      </c>
      <c r="K64" t="s">
        <v>304</v>
      </c>
      <c r="L64" s="5" cm="1">
        <f t="array" ref="L64">INDEX(DataValidation!$B$2:$B$11, _xlfn.XMATCH(K64, DataValidation!$A$2:$A$11))</f>
        <v>3</v>
      </c>
      <c r="M64">
        <v>0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1</v>
      </c>
      <c r="U64">
        <v>0</v>
      </c>
      <c r="V64">
        <v>2</v>
      </c>
      <c r="W64" s="23">
        <f t="shared" si="3"/>
        <v>-0.26666666666666666</v>
      </c>
      <c r="X64" s="24">
        <f t="shared" si="4"/>
        <v>-1.4000000000000001</v>
      </c>
      <c r="Y64" s="24">
        <f t="shared" si="5"/>
        <v>1</v>
      </c>
      <c r="Z64" s="24">
        <f t="shared" si="6"/>
        <v>6</v>
      </c>
      <c r="AA64" s="24">
        <f t="shared" si="7"/>
        <v>3</v>
      </c>
      <c r="AB64" s="24">
        <f t="shared" si="8"/>
        <v>6.2966666666666669</v>
      </c>
      <c r="AC64" s="24">
        <f t="shared" si="9"/>
        <v>1</v>
      </c>
      <c r="AD64" s="24">
        <f t="shared" si="10"/>
        <v>3</v>
      </c>
      <c r="AE64" s="24">
        <f t="shared" si="11"/>
        <v>0</v>
      </c>
      <c r="AF64" s="24">
        <f t="shared" si="12"/>
        <v>1</v>
      </c>
      <c r="AG64" s="24">
        <f t="shared" si="13"/>
        <v>1</v>
      </c>
      <c r="AH64" s="24">
        <f t="shared" si="14"/>
        <v>1</v>
      </c>
      <c r="AI64" s="24">
        <f t="shared" si="15"/>
        <v>1</v>
      </c>
      <c r="AJ64" s="24">
        <f t="shared" si="16"/>
        <v>1</v>
      </c>
      <c r="AK64" s="24">
        <f t="shared" si="17"/>
        <v>0</v>
      </c>
      <c r="AL64" s="24">
        <f t="shared" si="18"/>
        <v>0.5</v>
      </c>
      <c r="AM64" s="24">
        <f t="shared" si="19"/>
        <v>0</v>
      </c>
      <c r="AN64" s="24">
        <f t="shared" si="20"/>
        <v>4</v>
      </c>
      <c r="AO64" s="23">
        <f t="shared" si="22"/>
        <v>28.1</v>
      </c>
      <c r="AP64" s="24">
        <f t="shared" si="21"/>
        <v>28.4</v>
      </c>
    </row>
    <row r="65" spans="1:42" x14ac:dyDescent="0.25">
      <c r="A65" t="s">
        <v>3</v>
      </c>
      <c r="B65" t="s">
        <v>113</v>
      </c>
      <c r="C65" t="s">
        <v>54</v>
      </c>
      <c r="E65">
        <v>135</v>
      </c>
      <c r="F65">
        <v>0.05</v>
      </c>
      <c r="G65">
        <v>30</v>
      </c>
      <c r="H65">
        <v>6</v>
      </c>
      <c r="I65">
        <v>1756</v>
      </c>
      <c r="J65">
        <v>1</v>
      </c>
      <c r="K65" t="s">
        <v>304</v>
      </c>
      <c r="L65" s="5" cm="1">
        <f t="array" ref="L65">INDEX(DataValidation!$B$2:$B$11, _xlfn.XMATCH(K65, DataValidation!$A$2:$A$11))</f>
        <v>3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0</v>
      </c>
      <c r="T65">
        <v>1</v>
      </c>
      <c r="U65">
        <v>0</v>
      </c>
      <c r="V65">
        <v>2</v>
      </c>
      <c r="W65" s="23">
        <f t="shared" si="3"/>
        <v>0</v>
      </c>
      <c r="X65" s="24">
        <f t="shared" si="4"/>
        <v>-1.4000000000000001</v>
      </c>
      <c r="Y65" s="24">
        <f t="shared" si="5"/>
        <v>1</v>
      </c>
      <c r="Z65" s="24">
        <f t="shared" si="6"/>
        <v>6</v>
      </c>
      <c r="AA65" s="24">
        <f t="shared" si="7"/>
        <v>3</v>
      </c>
      <c r="AB65" s="24">
        <f t="shared" si="8"/>
        <v>5.8533333333333335</v>
      </c>
      <c r="AC65" s="24">
        <f t="shared" si="9"/>
        <v>1</v>
      </c>
      <c r="AD65" s="24">
        <f t="shared" si="10"/>
        <v>3</v>
      </c>
      <c r="AE65" s="24">
        <f t="shared" si="11"/>
        <v>0</v>
      </c>
      <c r="AF65" s="24">
        <f t="shared" si="12"/>
        <v>1</v>
      </c>
      <c r="AG65" s="24">
        <f t="shared" si="13"/>
        <v>1</v>
      </c>
      <c r="AH65" s="24">
        <f t="shared" si="14"/>
        <v>1</v>
      </c>
      <c r="AI65" s="24">
        <f t="shared" si="15"/>
        <v>1</v>
      </c>
      <c r="AJ65" s="24">
        <f t="shared" si="16"/>
        <v>1</v>
      </c>
      <c r="AK65" s="24">
        <f t="shared" si="17"/>
        <v>0</v>
      </c>
      <c r="AL65" s="24">
        <f t="shared" si="18"/>
        <v>0.5</v>
      </c>
      <c r="AM65" s="24">
        <f t="shared" si="19"/>
        <v>0</v>
      </c>
      <c r="AN65" s="24">
        <f t="shared" si="20"/>
        <v>4</v>
      </c>
      <c r="AO65" s="23">
        <f t="shared" si="22"/>
        <v>28</v>
      </c>
      <c r="AP65" s="24">
        <f t="shared" si="21"/>
        <v>28</v>
      </c>
    </row>
    <row r="66" spans="1:42" x14ac:dyDescent="0.25">
      <c r="A66" t="s">
        <v>336</v>
      </c>
      <c r="B66" t="s">
        <v>327</v>
      </c>
      <c r="C66" t="s">
        <v>27</v>
      </c>
      <c r="E66">
        <v>20</v>
      </c>
      <c r="F66">
        <v>0.05</v>
      </c>
      <c r="G66">
        <v>4</v>
      </c>
      <c r="H66">
        <v>7</v>
      </c>
      <c r="I66">
        <v>876</v>
      </c>
      <c r="J66">
        <v>1</v>
      </c>
      <c r="K66" t="s">
        <v>294</v>
      </c>
      <c r="L66" s="5" cm="1">
        <f t="array" ref="L66">INDEX(DataValidation!$B$2:$B$11, _xlfn.XMATCH(K66, DataValidation!$A$2:$A$11))</f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 s="23">
        <f t="shared" si="3"/>
        <v>0</v>
      </c>
      <c r="X66" s="24">
        <f t="shared" si="4"/>
        <v>3.2</v>
      </c>
      <c r="Y66" s="24">
        <f t="shared" si="5"/>
        <v>1</v>
      </c>
      <c r="Z66" s="24">
        <f t="shared" si="6"/>
        <v>0.8</v>
      </c>
      <c r="AA66" s="24">
        <f t="shared" si="7"/>
        <v>3.5</v>
      </c>
      <c r="AB66" s="24">
        <f t="shared" si="8"/>
        <v>2.9200000000000004</v>
      </c>
      <c r="AC66" s="24">
        <f t="shared" si="9"/>
        <v>1</v>
      </c>
      <c r="AD66" s="24">
        <f t="shared" si="10"/>
        <v>1</v>
      </c>
      <c r="AE66" s="24">
        <f t="shared" si="11"/>
        <v>0</v>
      </c>
      <c r="AF66" s="24">
        <f t="shared" si="12"/>
        <v>1</v>
      </c>
      <c r="AG66" s="24">
        <f t="shared" si="13"/>
        <v>0</v>
      </c>
      <c r="AH66" s="24">
        <f t="shared" si="14"/>
        <v>1</v>
      </c>
      <c r="AI66" s="24">
        <f t="shared" si="15"/>
        <v>0</v>
      </c>
      <c r="AJ66" s="24">
        <f t="shared" si="16"/>
        <v>0</v>
      </c>
      <c r="AK66" s="24">
        <f t="shared" si="17"/>
        <v>0</v>
      </c>
      <c r="AL66" s="24">
        <f t="shared" si="18"/>
        <v>0</v>
      </c>
      <c r="AM66" s="24">
        <f t="shared" si="19"/>
        <v>0</v>
      </c>
      <c r="AN66" s="24">
        <f t="shared" si="20"/>
        <v>2</v>
      </c>
      <c r="AO66" s="23">
        <f t="shared" si="22"/>
        <v>17.399999999999999</v>
      </c>
      <c r="AP66" s="24">
        <f t="shared" si="21"/>
        <v>17.399999999999999</v>
      </c>
    </row>
    <row r="67" spans="1:42" x14ac:dyDescent="0.25">
      <c r="A67" t="s">
        <v>329</v>
      </c>
      <c r="B67" t="s">
        <v>330</v>
      </c>
      <c r="C67" t="s">
        <v>331</v>
      </c>
      <c r="E67">
        <v>42</v>
      </c>
      <c r="F67">
        <v>0.04</v>
      </c>
      <c r="G67">
        <v>14</v>
      </c>
      <c r="H67">
        <v>6</v>
      </c>
      <c r="I67">
        <v>1420</v>
      </c>
      <c r="J67">
        <v>1</v>
      </c>
      <c r="K67" t="s">
        <v>294</v>
      </c>
      <c r="L67" s="5" cm="1">
        <f t="array" ref="L67">INDEX(DataValidation!$B$2:$B$11, _xlfn.XMATCH(K67, DataValidation!$A$2:$A$11))</f>
        <v>1</v>
      </c>
      <c r="M67">
        <v>0</v>
      </c>
      <c r="N67">
        <v>1</v>
      </c>
      <c r="O67">
        <v>1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2</v>
      </c>
      <c r="W67" s="23">
        <f t="shared" ref="W67:W130" si="23">IF(OR(ISBLANK(D67),W$169="N"),0,(W$170-D67)*W$168)</f>
        <v>0</v>
      </c>
      <c r="X67" s="24">
        <f t="shared" ref="X67:X130" si="24">IF(OR(ISBLANK(E67),X$169="N"),0,(X$170-E67)*X$168)</f>
        <v>2.3199999999999998</v>
      </c>
      <c r="Y67" s="24">
        <f t="shared" ref="Y67:Y130" si="25">IF(OR(ISBLANK(F67),Y$169="N"),0,(Y$170-F67)*Y$168)</f>
        <v>1.2000000000000002</v>
      </c>
      <c r="Z67" s="24">
        <f t="shared" ref="Z67:Z130" si="26">IF(OR(ISBLANK(G67),Z$169="N"),0,G67*Z$168)</f>
        <v>2.8000000000000003</v>
      </c>
      <c r="AA67" s="24">
        <f t="shared" ref="AA67:AA130" si="27">IF(OR(ISBLANK(H67),AA$169="N"),0,H67*AA$168)</f>
        <v>3</v>
      </c>
      <c r="AB67" s="24">
        <f t="shared" ref="AB67:AB130" si="28">IF(OR(ISBLANK(I67),AB$169="N"),0,I67*AB$168)</f>
        <v>4.7333333333333334</v>
      </c>
      <c r="AC67" s="24">
        <f t="shared" ref="AC67:AC130" si="29">IF(OR(ISBLANK(J67),AC$169="N"),0,J67*AC$168)</f>
        <v>1</v>
      </c>
      <c r="AD67" s="24">
        <f t="shared" ref="AD67:AD130" si="30">IF(OR(ISBLANK(L67),AD$169="N"),0,L67*AD$168)</f>
        <v>1</v>
      </c>
      <c r="AE67" s="24">
        <f t="shared" ref="AE67:AE130" si="31">IF(OR(ISBLANK(M67),AE$169="N"),0,M67*AE$168)</f>
        <v>0</v>
      </c>
      <c r="AF67" s="24">
        <f t="shared" ref="AF67:AF130" si="32">IF(OR(ISBLANK(N67),AF$169="N"),0,N67*AF$168)</f>
        <v>1</v>
      </c>
      <c r="AG67" s="24">
        <f t="shared" ref="AG67:AG130" si="33">IF(OR(ISBLANK(O67),AG$169="N"),0,O67*AG$168)</f>
        <v>1</v>
      </c>
      <c r="AH67" s="24">
        <f t="shared" ref="AH67:AH130" si="34">IF(OR(ISBLANK(P67),AH$169="N"),0,P67*AH$168)</f>
        <v>0</v>
      </c>
      <c r="AI67" s="24">
        <f t="shared" ref="AI67:AI130" si="35">IF(OR(ISBLANK(Q67),AI$169="N"),0,Q67*AI$168)</f>
        <v>1</v>
      </c>
      <c r="AJ67" s="24">
        <f t="shared" ref="AJ67:AJ130" si="36">IF(OR(ISBLANK(R67),AJ$169="N"),0,R67*AJ$168)</f>
        <v>0</v>
      </c>
      <c r="AK67" s="24">
        <f t="shared" ref="AK67:AK130" si="37">IF(OR(ISBLANK(S67),AK$169="N"),0,S67*AK$168)</f>
        <v>0</v>
      </c>
      <c r="AL67" s="24">
        <f t="shared" ref="AL67:AL130" si="38">IF(OR(ISBLANK(T67),AL$169="N"),0,T67*AL$168)</f>
        <v>0.5</v>
      </c>
      <c r="AM67" s="24">
        <f t="shared" ref="AM67:AM130" si="39">IF(OR(ISBLANK(U67),AM$169="N"),0,U67*AM$168)</f>
        <v>0</v>
      </c>
      <c r="AN67" s="24">
        <f t="shared" ref="AN67:AN130" si="40">IF(OR(ISBLANK(V67),AN$169="N"),0,V67*AN$168)</f>
        <v>4</v>
      </c>
      <c r="AO67" s="23">
        <f t="shared" si="22"/>
        <v>23.6</v>
      </c>
      <c r="AP67" s="24">
        <f t="shared" ref="AP67:AP130" si="41">ROUND(SUM(X67:AN67),1)</f>
        <v>23.6</v>
      </c>
    </row>
    <row r="68" spans="1:42" x14ac:dyDescent="0.25">
      <c r="A68" t="s">
        <v>332</v>
      </c>
      <c r="B68" t="s">
        <v>333</v>
      </c>
      <c r="C68" t="s">
        <v>331</v>
      </c>
      <c r="E68">
        <v>43</v>
      </c>
      <c r="F68">
        <v>0.1</v>
      </c>
      <c r="G68">
        <v>12</v>
      </c>
      <c r="H68">
        <v>6</v>
      </c>
      <c r="I68">
        <v>1350</v>
      </c>
      <c r="J68">
        <v>1</v>
      </c>
      <c r="K68" t="s">
        <v>294</v>
      </c>
      <c r="L68" s="5" cm="1">
        <f t="array" ref="L68">INDEX(DataValidation!$B$2:$B$11, _xlfn.XMATCH(K68, DataValidation!$A$2:$A$11))</f>
        <v>1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</v>
      </c>
      <c r="V68">
        <v>2</v>
      </c>
      <c r="W68" s="23">
        <f t="shared" si="23"/>
        <v>0</v>
      </c>
      <c r="X68" s="24">
        <f t="shared" si="24"/>
        <v>2.2800000000000002</v>
      </c>
      <c r="Y68" s="24">
        <f t="shared" si="25"/>
        <v>0</v>
      </c>
      <c r="Z68" s="24">
        <f t="shared" si="26"/>
        <v>2.4000000000000004</v>
      </c>
      <c r="AA68" s="24">
        <f t="shared" si="27"/>
        <v>3</v>
      </c>
      <c r="AB68" s="24">
        <f t="shared" si="28"/>
        <v>4.5</v>
      </c>
      <c r="AC68" s="24">
        <f t="shared" si="29"/>
        <v>1</v>
      </c>
      <c r="AD68" s="24">
        <f t="shared" si="30"/>
        <v>1</v>
      </c>
      <c r="AE68" s="24">
        <f t="shared" si="31"/>
        <v>0</v>
      </c>
      <c r="AF68" s="24">
        <f t="shared" si="32"/>
        <v>1</v>
      </c>
      <c r="AG68" s="24">
        <f t="shared" si="33"/>
        <v>1</v>
      </c>
      <c r="AH68" s="24">
        <f t="shared" si="34"/>
        <v>1</v>
      </c>
      <c r="AI68" s="24">
        <f t="shared" si="35"/>
        <v>1</v>
      </c>
      <c r="AJ68" s="24">
        <f t="shared" si="36"/>
        <v>1</v>
      </c>
      <c r="AK68" s="24">
        <f t="shared" si="37"/>
        <v>0.5</v>
      </c>
      <c r="AL68" s="24">
        <f t="shared" si="38"/>
        <v>0.5</v>
      </c>
      <c r="AM68" s="24">
        <f t="shared" si="39"/>
        <v>0</v>
      </c>
      <c r="AN68" s="24">
        <f t="shared" si="40"/>
        <v>4</v>
      </c>
      <c r="AO68" s="23">
        <f t="shared" ref="AO68:AO131" si="42">ROUND(SUM(W68:AN68),1)</f>
        <v>24.2</v>
      </c>
      <c r="AP68" s="24">
        <f t="shared" si="41"/>
        <v>24.2</v>
      </c>
    </row>
    <row r="69" spans="1:42" x14ac:dyDescent="0.25">
      <c r="A69" t="s">
        <v>332</v>
      </c>
      <c r="B69" t="s">
        <v>334</v>
      </c>
      <c r="C69" t="s">
        <v>331</v>
      </c>
      <c r="E69">
        <v>27</v>
      </c>
      <c r="F69">
        <v>0.01</v>
      </c>
      <c r="G69">
        <v>5</v>
      </c>
      <c r="H69">
        <v>6</v>
      </c>
      <c r="I69">
        <v>916</v>
      </c>
      <c r="J69">
        <v>1</v>
      </c>
      <c r="K69" t="s">
        <v>294</v>
      </c>
      <c r="L69" s="5" cm="1">
        <f t="array" ref="L69">INDEX(DataValidation!$B$2:$B$11, _xlfn.XMATCH(K69, DataValidation!$A$2:$A$11))</f>
        <v>1</v>
      </c>
      <c r="M69">
        <v>0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2</v>
      </c>
      <c r="W69" s="23">
        <f t="shared" si="23"/>
        <v>0</v>
      </c>
      <c r="X69" s="24">
        <f t="shared" si="24"/>
        <v>2.92</v>
      </c>
      <c r="Y69" s="24">
        <f t="shared" si="25"/>
        <v>1.8000000000000003</v>
      </c>
      <c r="Z69" s="24">
        <f t="shared" si="26"/>
        <v>1</v>
      </c>
      <c r="AA69" s="24">
        <f t="shared" si="27"/>
        <v>3</v>
      </c>
      <c r="AB69" s="24">
        <f t="shared" si="28"/>
        <v>3.0533333333333337</v>
      </c>
      <c r="AC69" s="24">
        <f t="shared" si="29"/>
        <v>1</v>
      </c>
      <c r="AD69" s="24">
        <f t="shared" si="30"/>
        <v>1</v>
      </c>
      <c r="AE69" s="24">
        <f t="shared" si="31"/>
        <v>0</v>
      </c>
      <c r="AF69" s="24">
        <f t="shared" si="32"/>
        <v>1</v>
      </c>
      <c r="AG69" s="24">
        <f t="shared" si="33"/>
        <v>1</v>
      </c>
      <c r="AH69" s="24">
        <f t="shared" si="34"/>
        <v>1</v>
      </c>
      <c r="AI69" s="24">
        <f t="shared" si="35"/>
        <v>1</v>
      </c>
      <c r="AJ69" s="24">
        <f t="shared" si="36"/>
        <v>1</v>
      </c>
      <c r="AK69" s="24">
        <f t="shared" si="37"/>
        <v>0.5</v>
      </c>
      <c r="AL69" s="24">
        <f t="shared" si="38"/>
        <v>0.5</v>
      </c>
      <c r="AM69" s="24">
        <f t="shared" si="39"/>
        <v>0</v>
      </c>
      <c r="AN69" s="24">
        <f t="shared" si="40"/>
        <v>4</v>
      </c>
      <c r="AO69" s="23">
        <f t="shared" si="42"/>
        <v>23.8</v>
      </c>
      <c r="AP69" s="24">
        <f t="shared" si="41"/>
        <v>23.8</v>
      </c>
    </row>
    <row r="70" spans="1:42" x14ac:dyDescent="0.25">
      <c r="A70" t="s">
        <v>332</v>
      </c>
      <c r="B70" t="s">
        <v>335</v>
      </c>
      <c r="C70" t="s">
        <v>331</v>
      </c>
      <c r="E70">
        <v>42</v>
      </c>
      <c r="F70">
        <v>0.01</v>
      </c>
      <c r="G70">
        <v>15</v>
      </c>
      <c r="H70">
        <v>6</v>
      </c>
      <c r="I70">
        <v>963</v>
      </c>
      <c r="J70">
        <v>1</v>
      </c>
      <c r="K70" t="s">
        <v>294</v>
      </c>
      <c r="L70" s="5" cm="1">
        <f t="array" ref="L70">INDEX(DataValidation!$B$2:$B$11, _xlfn.XMATCH(K70, DataValidation!$A$2:$A$11))</f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2</v>
      </c>
      <c r="W70" s="23">
        <f t="shared" si="23"/>
        <v>0</v>
      </c>
      <c r="X70" s="24">
        <f t="shared" si="24"/>
        <v>2.3199999999999998</v>
      </c>
      <c r="Y70" s="24">
        <f t="shared" si="25"/>
        <v>1.8000000000000003</v>
      </c>
      <c r="Z70" s="24">
        <f t="shared" si="26"/>
        <v>3</v>
      </c>
      <c r="AA70" s="24">
        <f t="shared" si="27"/>
        <v>3</v>
      </c>
      <c r="AB70" s="24">
        <f t="shared" si="28"/>
        <v>3.2100000000000004</v>
      </c>
      <c r="AC70" s="24">
        <f t="shared" si="29"/>
        <v>1</v>
      </c>
      <c r="AD70" s="24">
        <f t="shared" si="30"/>
        <v>1</v>
      </c>
      <c r="AE70" s="24">
        <f t="shared" si="31"/>
        <v>0</v>
      </c>
      <c r="AF70" s="24">
        <f t="shared" si="32"/>
        <v>1</v>
      </c>
      <c r="AG70" s="24">
        <f t="shared" si="33"/>
        <v>1</v>
      </c>
      <c r="AH70" s="24">
        <f t="shared" si="34"/>
        <v>1</v>
      </c>
      <c r="AI70" s="24">
        <f t="shared" si="35"/>
        <v>1</v>
      </c>
      <c r="AJ70" s="24">
        <f t="shared" si="36"/>
        <v>1</v>
      </c>
      <c r="AK70" s="24">
        <f t="shared" si="37"/>
        <v>0.5</v>
      </c>
      <c r="AL70" s="24">
        <f t="shared" si="38"/>
        <v>0.5</v>
      </c>
      <c r="AM70" s="24">
        <f t="shared" si="39"/>
        <v>0</v>
      </c>
      <c r="AN70" s="24">
        <f t="shared" si="40"/>
        <v>4</v>
      </c>
      <c r="AO70" s="23">
        <f t="shared" si="42"/>
        <v>25.3</v>
      </c>
      <c r="AP70" s="24">
        <f t="shared" si="41"/>
        <v>25.3</v>
      </c>
    </row>
    <row r="71" spans="1:42" x14ac:dyDescent="0.25">
      <c r="A71" t="s">
        <v>337</v>
      </c>
      <c r="B71" t="s">
        <v>338</v>
      </c>
      <c r="C71" t="s">
        <v>9</v>
      </c>
      <c r="D71" s="5">
        <v>4250</v>
      </c>
      <c r="E71">
        <v>6</v>
      </c>
      <c r="F71">
        <v>1</v>
      </c>
      <c r="G71">
        <v>3</v>
      </c>
      <c r="H71">
        <v>4</v>
      </c>
      <c r="I71">
        <v>495</v>
      </c>
      <c r="J71">
        <v>1</v>
      </c>
      <c r="K71" t="s">
        <v>294</v>
      </c>
      <c r="L71" s="5" cm="1">
        <f t="array" ref="L71">INDEX(DataValidation!$B$2:$B$11, _xlfn.XMATCH(K71, DataValidation!$A$2:$A$11))</f>
        <v>1</v>
      </c>
      <c r="M71">
        <v>0</v>
      </c>
      <c r="N71">
        <v>1</v>
      </c>
      <c r="O71">
        <v>0</v>
      </c>
      <c r="P71">
        <v>0</v>
      </c>
      <c r="Q71">
        <v>1</v>
      </c>
      <c r="R71">
        <v>0</v>
      </c>
      <c r="S71">
        <v>1</v>
      </c>
      <c r="T71">
        <v>1</v>
      </c>
      <c r="U71">
        <v>0</v>
      </c>
      <c r="V71">
        <v>2</v>
      </c>
      <c r="W71" s="23">
        <f t="shared" si="23"/>
        <v>6.1000000000000005</v>
      </c>
      <c r="X71" s="24">
        <f t="shared" si="24"/>
        <v>3.7600000000000002</v>
      </c>
      <c r="Y71" s="24">
        <f t="shared" si="25"/>
        <v>-18</v>
      </c>
      <c r="Z71" s="24">
        <f t="shared" si="26"/>
        <v>0.60000000000000009</v>
      </c>
      <c r="AA71" s="24">
        <f t="shared" si="27"/>
        <v>2</v>
      </c>
      <c r="AB71" s="24">
        <f t="shared" si="28"/>
        <v>1.6500000000000001</v>
      </c>
      <c r="AC71" s="24">
        <f t="shared" si="29"/>
        <v>1</v>
      </c>
      <c r="AD71" s="24">
        <f t="shared" si="30"/>
        <v>1</v>
      </c>
      <c r="AE71" s="24">
        <f t="shared" si="31"/>
        <v>0</v>
      </c>
      <c r="AF71" s="24">
        <f t="shared" si="32"/>
        <v>1</v>
      </c>
      <c r="AG71" s="24">
        <f t="shared" si="33"/>
        <v>0</v>
      </c>
      <c r="AH71" s="24">
        <f t="shared" si="34"/>
        <v>0</v>
      </c>
      <c r="AI71" s="24">
        <f t="shared" si="35"/>
        <v>1</v>
      </c>
      <c r="AJ71" s="24">
        <f t="shared" si="36"/>
        <v>0</v>
      </c>
      <c r="AK71" s="24">
        <f t="shared" si="37"/>
        <v>0.5</v>
      </c>
      <c r="AL71" s="24">
        <f t="shared" si="38"/>
        <v>0.5</v>
      </c>
      <c r="AM71" s="24">
        <f t="shared" si="39"/>
        <v>0</v>
      </c>
      <c r="AN71" s="24">
        <f t="shared" si="40"/>
        <v>4</v>
      </c>
      <c r="AO71" s="23">
        <f t="shared" si="42"/>
        <v>5.0999999999999996</v>
      </c>
      <c r="AP71" s="24">
        <f t="shared" si="41"/>
        <v>-1</v>
      </c>
    </row>
    <row r="72" spans="1:42" x14ac:dyDescent="0.25">
      <c r="A72" t="s">
        <v>337</v>
      </c>
      <c r="B72" t="s">
        <v>339</v>
      </c>
      <c r="C72" t="s">
        <v>9</v>
      </c>
      <c r="D72" s="5">
        <v>2900</v>
      </c>
      <c r="E72">
        <v>7</v>
      </c>
      <c r="F72">
        <v>1</v>
      </c>
      <c r="G72">
        <v>3</v>
      </c>
      <c r="H72">
        <v>4</v>
      </c>
      <c r="I72">
        <v>495</v>
      </c>
      <c r="J72">
        <v>1</v>
      </c>
      <c r="K72" t="s">
        <v>305</v>
      </c>
      <c r="L72" s="5" cm="1">
        <f t="array" ref="L72">INDEX(DataValidation!$B$2:$B$11, _xlfn.XMATCH(K72, DataValidation!$A$2:$A$11))</f>
        <v>3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1</v>
      </c>
      <c r="T72">
        <v>1</v>
      </c>
      <c r="U72">
        <v>0</v>
      </c>
      <c r="V72">
        <v>2</v>
      </c>
      <c r="W72" s="23">
        <f t="shared" si="23"/>
        <v>6.28</v>
      </c>
      <c r="X72" s="24">
        <f t="shared" si="24"/>
        <v>3.72</v>
      </c>
      <c r="Y72" s="24">
        <f t="shared" si="25"/>
        <v>-18</v>
      </c>
      <c r="Z72" s="24">
        <f t="shared" si="26"/>
        <v>0.60000000000000009</v>
      </c>
      <c r="AA72" s="24">
        <f t="shared" si="27"/>
        <v>2</v>
      </c>
      <c r="AB72" s="24">
        <f t="shared" si="28"/>
        <v>1.6500000000000001</v>
      </c>
      <c r="AC72" s="24">
        <f t="shared" si="29"/>
        <v>1</v>
      </c>
      <c r="AD72" s="24">
        <f t="shared" si="30"/>
        <v>3</v>
      </c>
      <c r="AE72" s="24">
        <f t="shared" si="31"/>
        <v>0</v>
      </c>
      <c r="AF72" s="24">
        <f t="shared" si="32"/>
        <v>1</v>
      </c>
      <c r="AG72" s="24">
        <f t="shared" si="33"/>
        <v>0</v>
      </c>
      <c r="AH72" s="24">
        <f t="shared" si="34"/>
        <v>0</v>
      </c>
      <c r="AI72" s="24">
        <f t="shared" si="35"/>
        <v>1</v>
      </c>
      <c r="AJ72" s="24">
        <f t="shared" si="36"/>
        <v>0</v>
      </c>
      <c r="AK72" s="24">
        <f t="shared" si="37"/>
        <v>0.5</v>
      </c>
      <c r="AL72" s="24">
        <f t="shared" si="38"/>
        <v>0.5</v>
      </c>
      <c r="AM72" s="24">
        <f t="shared" si="39"/>
        <v>0</v>
      </c>
      <c r="AN72" s="24">
        <f t="shared" si="40"/>
        <v>4</v>
      </c>
      <c r="AO72" s="23">
        <f t="shared" si="42"/>
        <v>7.3</v>
      </c>
      <c r="AP72" s="24">
        <f t="shared" si="41"/>
        <v>1</v>
      </c>
    </row>
    <row r="73" spans="1:42" x14ac:dyDescent="0.25">
      <c r="A73" t="s">
        <v>337</v>
      </c>
      <c r="B73" t="s">
        <v>340</v>
      </c>
      <c r="C73" t="s">
        <v>9</v>
      </c>
      <c r="D73" s="5">
        <v>4970</v>
      </c>
      <c r="E73">
        <v>8</v>
      </c>
      <c r="F73">
        <v>1</v>
      </c>
      <c r="G73">
        <v>2</v>
      </c>
      <c r="H73">
        <v>6</v>
      </c>
      <c r="I73">
        <v>664</v>
      </c>
      <c r="J73">
        <v>1</v>
      </c>
      <c r="K73" t="s">
        <v>294</v>
      </c>
      <c r="L73" s="5" cm="1">
        <f t="array" ref="L73">INDEX(DataValidation!$B$2:$B$11, _xlfn.XMATCH(K73, DataValidation!$A$2:$A$11))</f>
        <v>1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1</v>
      </c>
      <c r="U73">
        <v>0</v>
      </c>
      <c r="V73">
        <v>2</v>
      </c>
      <c r="W73" s="23">
        <f t="shared" si="23"/>
        <v>6.0040000000000004</v>
      </c>
      <c r="X73" s="24">
        <f t="shared" si="24"/>
        <v>3.68</v>
      </c>
      <c r="Y73" s="24">
        <f t="shared" si="25"/>
        <v>-18</v>
      </c>
      <c r="Z73" s="24">
        <f t="shared" si="26"/>
        <v>0.4</v>
      </c>
      <c r="AA73" s="24">
        <f t="shared" si="27"/>
        <v>3</v>
      </c>
      <c r="AB73" s="24">
        <f t="shared" si="28"/>
        <v>2.2133333333333334</v>
      </c>
      <c r="AC73" s="24">
        <f t="shared" si="29"/>
        <v>1</v>
      </c>
      <c r="AD73" s="24">
        <f t="shared" si="30"/>
        <v>1</v>
      </c>
      <c r="AE73" s="24">
        <f t="shared" si="31"/>
        <v>0</v>
      </c>
      <c r="AF73" s="24">
        <f t="shared" si="32"/>
        <v>1</v>
      </c>
      <c r="AG73" s="24">
        <f t="shared" si="33"/>
        <v>0</v>
      </c>
      <c r="AH73" s="24">
        <f t="shared" si="34"/>
        <v>0</v>
      </c>
      <c r="AI73" s="24">
        <f t="shared" si="35"/>
        <v>1</v>
      </c>
      <c r="AJ73" s="24">
        <f t="shared" si="36"/>
        <v>0</v>
      </c>
      <c r="AK73" s="24">
        <f t="shared" si="37"/>
        <v>0.5</v>
      </c>
      <c r="AL73" s="24">
        <f t="shared" si="38"/>
        <v>0.5</v>
      </c>
      <c r="AM73" s="24">
        <f t="shared" si="39"/>
        <v>0</v>
      </c>
      <c r="AN73" s="24">
        <f t="shared" si="40"/>
        <v>4</v>
      </c>
      <c r="AO73" s="23">
        <f t="shared" si="42"/>
        <v>6.3</v>
      </c>
      <c r="AP73" s="24">
        <f t="shared" si="41"/>
        <v>0.3</v>
      </c>
    </row>
    <row r="74" spans="1:42" x14ac:dyDescent="0.25">
      <c r="A74" t="s">
        <v>337</v>
      </c>
      <c r="B74" t="s">
        <v>341</v>
      </c>
      <c r="C74" t="s">
        <v>9</v>
      </c>
      <c r="D74" s="5">
        <v>4200</v>
      </c>
      <c r="E74">
        <v>8</v>
      </c>
      <c r="F74">
        <v>1</v>
      </c>
      <c r="G74">
        <v>2</v>
      </c>
      <c r="H74">
        <v>6</v>
      </c>
      <c r="I74">
        <v>664</v>
      </c>
      <c r="J74">
        <v>1</v>
      </c>
      <c r="K74" t="s">
        <v>305</v>
      </c>
      <c r="L74" s="5" cm="1">
        <f t="array" ref="L74">INDEX(DataValidation!$B$2:$B$11, _xlfn.XMATCH(K74, DataValidation!$A$2:$A$11))</f>
        <v>3</v>
      </c>
      <c r="M74">
        <v>0</v>
      </c>
      <c r="N74">
        <v>1</v>
      </c>
      <c r="O74">
        <v>0</v>
      </c>
      <c r="P74">
        <v>0</v>
      </c>
      <c r="Q74">
        <v>1</v>
      </c>
      <c r="R74">
        <v>0</v>
      </c>
      <c r="S74">
        <v>1</v>
      </c>
      <c r="T74">
        <v>1</v>
      </c>
      <c r="U74">
        <v>0</v>
      </c>
      <c r="V74">
        <v>2</v>
      </c>
      <c r="W74" s="23">
        <f t="shared" si="23"/>
        <v>6.1066666666666674</v>
      </c>
      <c r="X74" s="24">
        <f t="shared" si="24"/>
        <v>3.68</v>
      </c>
      <c r="Y74" s="24">
        <f t="shared" si="25"/>
        <v>-18</v>
      </c>
      <c r="Z74" s="24">
        <f t="shared" si="26"/>
        <v>0.4</v>
      </c>
      <c r="AA74" s="24">
        <f t="shared" si="27"/>
        <v>3</v>
      </c>
      <c r="AB74" s="24">
        <f t="shared" si="28"/>
        <v>2.2133333333333334</v>
      </c>
      <c r="AC74" s="24">
        <f t="shared" si="29"/>
        <v>1</v>
      </c>
      <c r="AD74" s="24">
        <f t="shared" si="30"/>
        <v>3</v>
      </c>
      <c r="AE74" s="24">
        <f t="shared" si="31"/>
        <v>0</v>
      </c>
      <c r="AF74" s="24">
        <f t="shared" si="32"/>
        <v>1</v>
      </c>
      <c r="AG74" s="24">
        <f t="shared" si="33"/>
        <v>0</v>
      </c>
      <c r="AH74" s="24">
        <f t="shared" si="34"/>
        <v>0</v>
      </c>
      <c r="AI74" s="24">
        <f t="shared" si="35"/>
        <v>1</v>
      </c>
      <c r="AJ74" s="24">
        <f t="shared" si="36"/>
        <v>0</v>
      </c>
      <c r="AK74" s="24">
        <f t="shared" si="37"/>
        <v>0.5</v>
      </c>
      <c r="AL74" s="24">
        <f t="shared" si="38"/>
        <v>0.5</v>
      </c>
      <c r="AM74" s="24">
        <f t="shared" si="39"/>
        <v>0</v>
      </c>
      <c r="AN74" s="24">
        <f t="shared" si="40"/>
        <v>4</v>
      </c>
      <c r="AO74" s="23">
        <f t="shared" si="42"/>
        <v>8.4</v>
      </c>
      <c r="AP74" s="24">
        <f t="shared" si="41"/>
        <v>2.2999999999999998</v>
      </c>
    </row>
    <row r="75" spans="1:42" x14ac:dyDescent="0.25">
      <c r="A75" t="s">
        <v>46</v>
      </c>
      <c r="B75" t="s">
        <v>115</v>
      </c>
      <c r="C75" t="s">
        <v>9</v>
      </c>
      <c r="D75" s="5">
        <v>16500</v>
      </c>
      <c r="E75">
        <v>12</v>
      </c>
      <c r="F75">
        <v>0.02</v>
      </c>
      <c r="G75">
        <v>3</v>
      </c>
      <c r="H75">
        <v>6</v>
      </c>
      <c r="I75">
        <v>626</v>
      </c>
      <c r="J75">
        <v>1</v>
      </c>
      <c r="K75" t="s">
        <v>258</v>
      </c>
      <c r="L75" s="5" cm="1">
        <f t="array" ref="L75">INDEX(DataValidation!$B$2:$B$11, _xlfn.XMATCH(K75, DataValidation!$A$2:$A$11))</f>
        <v>2</v>
      </c>
      <c r="M75">
        <v>0</v>
      </c>
      <c r="N75">
        <v>1</v>
      </c>
      <c r="O75">
        <v>0</v>
      </c>
      <c r="P75">
        <v>1</v>
      </c>
      <c r="Q75">
        <v>1</v>
      </c>
      <c r="R75">
        <v>1</v>
      </c>
      <c r="S75">
        <v>0</v>
      </c>
      <c r="T75">
        <v>1</v>
      </c>
      <c r="U75">
        <v>0</v>
      </c>
      <c r="V75">
        <v>2</v>
      </c>
      <c r="W75" s="23">
        <f t="shared" si="23"/>
        <v>4.4666666666666668</v>
      </c>
      <c r="X75" s="24">
        <f t="shared" si="24"/>
        <v>3.52</v>
      </c>
      <c r="Y75" s="24">
        <f t="shared" si="25"/>
        <v>1.6</v>
      </c>
      <c r="Z75" s="24">
        <f t="shared" si="26"/>
        <v>0.60000000000000009</v>
      </c>
      <c r="AA75" s="24">
        <f t="shared" si="27"/>
        <v>3</v>
      </c>
      <c r="AB75" s="24">
        <f t="shared" si="28"/>
        <v>2.0866666666666669</v>
      </c>
      <c r="AC75" s="24">
        <f t="shared" si="29"/>
        <v>1</v>
      </c>
      <c r="AD75" s="24">
        <f t="shared" si="30"/>
        <v>2</v>
      </c>
      <c r="AE75" s="24">
        <f t="shared" si="31"/>
        <v>0</v>
      </c>
      <c r="AF75" s="24">
        <f t="shared" si="32"/>
        <v>1</v>
      </c>
      <c r="AG75" s="24">
        <f t="shared" si="33"/>
        <v>0</v>
      </c>
      <c r="AH75" s="24">
        <f t="shared" si="34"/>
        <v>1</v>
      </c>
      <c r="AI75" s="24">
        <f t="shared" si="35"/>
        <v>1</v>
      </c>
      <c r="AJ75" s="24">
        <f t="shared" si="36"/>
        <v>1</v>
      </c>
      <c r="AK75" s="24">
        <f t="shared" si="37"/>
        <v>0</v>
      </c>
      <c r="AL75" s="24">
        <f t="shared" si="38"/>
        <v>0.5</v>
      </c>
      <c r="AM75" s="24">
        <f t="shared" si="39"/>
        <v>0</v>
      </c>
      <c r="AN75" s="24">
        <f t="shared" si="40"/>
        <v>4</v>
      </c>
      <c r="AO75" s="23">
        <f t="shared" si="42"/>
        <v>26.8</v>
      </c>
      <c r="AP75" s="24">
        <f t="shared" si="41"/>
        <v>22.3</v>
      </c>
    </row>
    <row r="76" spans="1:42" x14ac:dyDescent="0.25">
      <c r="A76" t="s">
        <v>46</v>
      </c>
      <c r="B76" t="s">
        <v>114</v>
      </c>
      <c r="C76" t="s">
        <v>9</v>
      </c>
      <c r="D76" s="5">
        <v>19000</v>
      </c>
      <c r="E76">
        <v>23</v>
      </c>
      <c r="F76">
        <v>0.02</v>
      </c>
      <c r="G76">
        <v>5</v>
      </c>
      <c r="H76">
        <v>6</v>
      </c>
      <c r="I76">
        <v>954</v>
      </c>
      <c r="J76">
        <v>1</v>
      </c>
      <c r="K76" t="s">
        <v>258</v>
      </c>
      <c r="L76" s="5" cm="1">
        <f t="array" ref="L76">INDEX(DataValidation!$B$2:$B$11, _xlfn.XMATCH(K76, DataValidation!$A$2:$A$11))</f>
        <v>2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0</v>
      </c>
      <c r="V76">
        <v>2</v>
      </c>
      <c r="W76" s="23">
        <f t="shared" si="23"/>
        <v>4.1333333333333337</v>
      </c>
      <c r="X76" s="24">
        <f t="shared" si="24"/>
        <v>3.08</v>
      </c>
      <c r="Y76" s="24">
        <f t="shared" si="25"/>
        <v>1.6</v>
      </c>
      <c r="Z76" s="24">
        <f t="shared" si="26"/>
        <v>1</v>
      </c>
      <c r="AA76" s="24">
        <f t="shared" si="27"/>
        <v>3</v>
      </c>
      <c r="AB76" s="24">
        <f t="shared" si="28"/>
        <v>3.18</v>
      </c>
      <c r="AC76" s="24">
        <f t="shared" si="29"/>
        <v>1</v>
      </c>
      <c r="AD76" s="24">
        <f t="shared" si="30"/>
        <v>2</v>
      </c>
      <c r="AE76" s="24">
        <f t="shared" si="31"/>
        <v>0</v>
      </c>
      <c r="AF76" s="24">
        <f t="shared" si="32"/>
        <v>1</v>
      </c>
      <c r="AG76" s="24">
        <f t="shared" si="33"/>
        <v>1</v>
      </c>
      <c r="AH76" s="24">
        <f t="shared" si="34"/>
        <v>1</v>
      </c>
      <c r="AI76" s="24">
        <f t="shared" si="35"/>
        <v>1</v>
      </c>
      <c r="AJ76" s="24">
        <f t="shared" si="36"/>
        <v>1</v>
      </c>
      <c r="AK76" s="24">
        <f t="shared" si="37"/>
        <v>0</v>
      </c>
      <c r="AL76" s="24">
        <f t="shared" si="38"/>
        <v>0.5</v>
      </c>
      <c r="AM76" s="24">
        <f t="shared" si="39"/>
        <v>0</v>
      </c>
      <c r="AN76" s="24">
        <f t="shared" si="40"/>
        <v>4</v>
      </c>
      <c r="AO76" s="23">
        <f t="shared" si="42"/>
        <v>28.5</v>
      </c>
      <c r="AP76" s="24">
        <f t="shared" si="41"/>
        <v>24.4</v>
      </c>
    </row>
    <row r="77" spans="1:42" x14ac:dyDescent="0.25">
      <c r="A77" t="s">
        <v>46</v>
      </c>
      <c r="B77" t="s">
        <v>116</v>
      </c>
      <c r="C77" t="s">
        <v>9</v>
      </c>
      <c r="D77" s="5">
        <v>19000</v>
      </c>
      <c r="E77">
        <v>22</v>
      </c>
      <c r="F77">
        <v>0.02</v>
      </c>
      <c r="G77">
        <v>7</v>
      </c>
      <c r="H77">
        <v>6</v>
      </c>
      <c r="I77">
        <v>819</v>
      </c>
      <c r="J77">
        <v>1</v>
      </c>
      <c r="K77" t="s">
        <v>258</v>
      </c>
      <c r="L77" s="5" cm="1">
        <f t="array" ref="L77">INDEX(DataValidation!$B$2:$B$11, _xlfn.XMATCH(K77, DataValidation!$A$2:$A$11))</f>
        <v>2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U77">
        <v>0</v>
      </c>
      <c r="V77">
        <v>2</v>
      </c>
      <c r="W77" s="23">
        <f t="shared" si="23"/>
        <v>4.1333333333333337</v>
      </c>
      <c r="X77" s="24">
        <f t="shared" si="24"/>
        <v>3.12</v>
      </c>
      <c r="Y77" s="24">
        <f t="shared" si="25"/>
        <v>1.6</v>
      </c>
      <c r="Z77" s="24">
        <f t="shared" si="26"/>
        <v>1.4000000000000001</v>
      </c>
      <c r="AA77" s="24">
        <f t="shared" si="27"/>
        <v>3</v>
      </c>
      <c r="AB77" s="24">
        <f t="shared" si="28"/>
        <v>2.73</v>
      </c>
      <c r="AC77" s="24">
        <f t="shared" si="29"/>
        <v>1</v>
      </c>
      <c r="AD77" s="24">
        <f t="shared" si="30"/>
        <v>2</v>
      </c>
      <c r="AE77" s="24">
        <f t="shared" si="31"/>
        <v>0</v>
      </c>
      <c r="AF77" s="24">
        <f t="shared" si="32"/>
        <v>1</v>
      </c>
      <c r="AG77" s="24">
        <f t="shared" si="33"/>
        <v>1</v>
      </c>
      <c r="AH77" s="24">
        <f t="shared" si="34"/>
        <v>1</v>
      </c>
      <c r="AI77" s="24">
        <f t="shared" si="35"/>
        <v>1</v>
      </c>
      <c r="AJ77" s="24">
        <f t="shared" si="36"/>
        <v>1</v>
      </c>
      <c r="AK77" s="24">
        <f t="shared" si="37"/>
        <v>0</v>
      </c>
      <c r="AL77" s="24">
        <f t="shared" si="38"/>
        <v>0.5</v>
      </c>
      <c r="AM77" s="24">
        <f t="shared" si="39"/>
        <v>0</v>
      </c>
      <c r="AN77" s="24">
        <f t="shared" si="40"/>
        <v>4</v>
      </c>
      <c r="AO77" s="23">
        <f t="shared" si="42"/>
        <v>28.5</v>
      </c>
      <c r="AP77" s="24">
        <f t="shared" si="41"/>
        <v>24.4</v>
      </c>
    </row>
    <row r="78" spans="1:42" x14ac:dyDescent="0.25">
      <c r="A78" t="s">
        <v>46</v>
      </c>
      <c r="B78" t="s">
        <v>117</v>
      </c>
      <c r="C78" t="s">
        <v>9</v>
      </c>
      <c r="D78" s="5">
        <v>23500</v>
      </c>
      <c r="E78">
        <v>41.3</v>
      </c>
      <c r="F78">
        <v>0.03</v>
      </c>
      <c r="G78">
        <v>12</v>
      </c>
      <c r="H78">
        <v>6</v>
      </c>
      <c r="I78">
        <v>1327</v>
      </c>
      <c r="J78">
        <v>1</v>
      </c>
      <c r="K78" t="s">
        <v>258</v>
      </c>
      <c r="L78" s="5" cm="1">
        <f t="array" ref="L78">INDEX(DataValidation!$B$2:$B$11, _xlfn.XMATCH(K78, DataValidation!$A$2:$A$11))</f>
        <v>2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  <c r="U78">
        <v>0</v>
      </c>
      <c r="V78">
        <v>2</v>
      </c>
      <c r="W78" s="23">
        <f t="shared" si="23"/>
        <v>3.5333333333333337</v>
      </c>
      <c r="X78" s="24">
        <f t="shared" si="24"/>
        <v>2.3480000000000003</v>
      </c>
      <c r="Y78" s="24">
        <f t="shared" si="25"/>
        <v>1.4000000000000001</v>
      </c>
      <c r="Z78" s="24">
        <f t="shared" si="26"/>
        <v>2.4000000000000004</v>
      </c>
      <c r="AA78" s="24">
        <f t="shared" si="27"/>
        <v>3</v>
      </c>
      <c r="AB78" s="24">
        <f t="shared" si="28"/>
        <v>4.4233333333333338</v>
      </c>
      <c r="AC78" s="24">
        <f t="shared" si="29"/>
        <v>1</v>
      </c>
      <c r="AD78" s="24">
        <f t="shared" si="30"/>
        <v>2</v>
      </c>
      <c r="AE78" s="24">
        <f t="shared" si="31"/>
        <v>0</v>
      </c>
      <c r="AF78" s="24">
        <f t="shared" si="32"/>
        <v>1</v>
      </c>
      <c r="AG78" s="24">
        <f t="shared" si="33"/>
        <v>1</v>
      </c>
      <c r="AH78" s="24">
        <f t="shared" si="34"/>
        <v>1</v>
      </c>
      <c r="AI78" s="24">
        <f t="shared" si="35"/>
        <v>1</v>
      </c>
      <c r="AJ78" s="24">
        <f t="shared" si="36"/>
        <v>1</v>
      </c>
      <c r="AK78" s="24">
        <f t="shared" si="37"/>
        <v>0</v>
      </c>
      <c r="AL78" s="24">
        <f t="shared" si="38"/>
        <v>0.5</v>
      </c>
      <c r="AM78" s="24">
        <f t="shared" si="39"/>
        <v>0</v>
      </c>
      <c r="AN78" s="24">
        <f t="shared" si="40"/>
        <v>4</v>
      </c>
      <c r="AO78" s="23">
        <f t="shared" si="42"/>
        <v>29.6</v>
      </c>
      <c r="AP78" s="24">
        <f t="shared" si="41"/>
        <v>26.1</v>
      </c>
    </row>
    <row r="79" spans="1:42" x14ac:dyDescent="0.25">
      <c r="A79" t="s">
        <v>46</v>
      </c>
      <c r="B79" t="s">
        <v>118</v>
      </c>
      <c r="C79" t="s">
        <v>9</v>
      </c>
      <c r="D79" s="5">
        <v>24500</v>
      </c>
      <c r="E79">
        <v>35</v>
      </c>
      <c r="F79">
        <v>0.03</v>
      </c>
      <c r="G79">
        <v>18</v>
      </c>
      <c r="H79">
        <v>6</v>
      </c>
      <c r="I79">
        <v>1073</v>
      </c>
      <c r="J79">
        <v>1</v>
      </c>
      <c r="K79" t="s">
        <v>258</v>
      </c>
      <c r="L79" s="5" cm="1">
        <f t="array" ref="L79">INDEX(DataValidation!$B$2:$B$11, _xlfn.XMATCH(K79, DataValidation!$A$2:$A$11))</f>
        <v>2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0</v>
      </c>
      <c r="T79">
        <v>1</v>
      </c>
      <c r="U79">
        <v>0</v>
      </c>
      <c r="V79">
        <v>2</v>
      </c>
      <c r="W79" s="23">
        <f t="shared" si="23"/>
        <v>3.4000000000000004</v>
      </c>
      <c r="X79" s="24">
        <f t="shared" si="24"/>
        <v>2.6</v>
      </c>
      <c r="Y79" s="24">
        <f t="shared" si="25"/>
        <v>1.4000000000000001</v>
      </c>
      <c r="Z79" s="24">
        <f t="shared" si="26"/>
        <v>3.6</v>
      </c>
      <c r="AA79" s="24">
        <f t="shared" si="27"/>
        <v>3</v>
      </c>
      <c r="AB79" s="24">
        <f t="shared" si="28"/>
        <v>3.5766666666666671</v>
      </c>
      <c r="AC79" s="24">
        <f t="shared" si="29"/>
        <v>1</v>
      </c>
      <c r="AD79" s="24">
        <f t="shared" si="30"/>
        <v>2</v>
      </c>
      <c r="AE79" s="24">
        <f t="shared" si="31"/>
        <v>0</v>
      </c>
      <c r="AF79" s="24">
        <f t="shared" si="32"/>
        <v>1</v>
      </c>
      <c r="AG79" s="24">
        <f t="shared" si="33"/>
        <v>1</v>
      </c>
      <c r="AH79" s="24">
        <f t="shared" si="34"/>
        <v>1</v>
      </c>
      <c r="AI79" s="24">
        <f t="shared" si="35"/>
        <v>1</v>
      </c>
      <c r="AJ79" s="24">
        <f t="shared" si="36"/>
        <v>1</v>
      </c>
      <c r="AK79" s="24">
        <f t="shared" si="37"/>
        <v>0</v>
      </c>
      <c r="AL79" s="24">
        <f t="shared" si="38"/>
        <v>0.5</v>
      </c>
      <c r="AM79" s="24">
        <f t="shared" si="39"/>
        <v>0</v>
      </c>
      <c r="AN79" s="24">
        <f t="shared" si="40"/>
        <v>4</v>
      </c>
      <c r="AO79" s="23">
        <f t="shared" si="42"/>
        <v>30.1</v>
      </c>
      <c r="AP79" s="24">
        <f t="shared" si="41"/>
        <v>26.7</v>
      </c>
    </row>
    <row r="80" spans="1:42" x14ac:dyDescent="0.25">
      <c r="A80" t="s">
        <v>46</v>
      </c>
      <c r="B80" t="s">
        <v>119</v>
      </c>
      <c r="C80" t="s">
        <v>9</v>
      </c>
      <c r="D80" s="5">
        <v>22330</v>
      </c>
      <c r="E80">
        <v>12</v>
      </c>
      <c r="F80">
        <v>0.02</v>
      </c>
      <c r="G80">
        <v>3</v>
      </c>
      <c r="H80">
        <v>6</v>
      </c>
      <c r="I80">
        <v>626</v>
      </c>
      <c r="J80">
        <v>1</v>
      </c>
      <c r="K80" t="s">
        <v>258</v>
      </c>
      <c r="L80" s="5" cm="1">
        <f t="array" ref="L80">INDEX(DataValidation!$B$2:$B$11, _xlfn.XMATCH(K80, DataValidation!$A$2:$A$11))</f>
        <v>2</v>
      </c>
      <c r="M80">
        <v>1</v>
      </c>
      <c r="N80">
        <v>1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0</v>
      </c>
      <c r="V80">
        <v>2</v>
      </c>
      <c r="W80" s="23">
        <f t="shared" si="23"/>
        <v>3.6893333333333334</v>
      </c>
      <c r="X80" s="24">
        <f t="shared" si="24"/>
        <v>3.52</v>
      </c>
      <c r="Y80" s="24">
        <f t="shared" si="25"/>
        <v>1.6</v>
      </c>
      <c r="Z80" s="24">
        <f t="shared" si="26"/>
        <v>0.60000000000000009</v>
      </c>
      <c r="AA80" s="24">
        <f t="shared" si="27"/>
        <v>3</v>
      </c>
      <c r="AB80" s="24">
        <f t="shared" si="28"/>
        <v>2.0866666666666669</v>
      </c>
      <c r="AC80" s="24">
        <f t="shared" si="29"/>
        <v>1</v>
      </c>
      <c r="AD80" s="24">
        <f t="shared" si="30"/>
        <v>2</v>
      </c>
      <c r="AE80" s="24">
        <f t="shared" si="31"/>
        <v>1</v>
      </c>
      <c r="AF80" s="24">
        <f t="shared" si="32"/>
        <v>1</v>
      </c>
      <c r="AG80" s="24">
        <f t="shared" si="33"/>
        <v>0</v>
      </c>
      <c r="AH80" s="24">
        <f t="shared" si="34"/>
        <v>1</v>
      </c>
      <c r="AI80" s="24">
        <f t="shared" si="35"/>
        <v>1</v>
      </c>
      <c r="AJ80" s="24">
        <f t="shared" si="36"/>
        <v>1</v>
      </c>
      <c r="AK80" s="24">
        <f t="shared" si="37"/>
        <v>0</v>
      </c>
      <c r="AL80" s="24">
        <f t="shared" si="38"/>
        <v>0.5</v>
      </c>
      <c r="AM80" s="24">
        <f t="shared" si="39"/>
        <v>0</v>
      </c>
      <c r="AN80" s="24">
        <f t="shared" si="40"/>
        <v>4</v>
      </c>
      <c r="AO80" s="23">
        <f t="shared" si="42"/>
        <v>27</v>
      </c>
      <c r="AP80" s="24">
        <f t="shared" si="41"/>
        <v>23.3</v>
      </c>
    </row>
    <row r="81" spans="1:42" x14ac:dyDescent="0.25">
      <c r="A81" t="s">
        <v>46</v>
      </c>
      <c r="B81" t="s">
        <v>120</v>
      </c>
      <c r="C81" t="s">
        <v>9</v>
      </c>
      <c r="D81" s="5">
        <v>25310</v>
      </c>
      <c r="E81">
        <v>23</v>
      </c>
      <c r="F81">
        <v>0.02</v>
      </c>
      <c r="G81">
        <v>5</v>
      </c>
      <c r="H81">
        <v>6</v>
      </c>
      <c r="I81">
        <v>954</v>
      </c>
      <c r="J81">
        <v>1</v>
      </c>
      <c r="K81" t="s">
        <v>258</v>
      </c>
      <c r="L81" s="5" cm="1">
        <f t="array" ref="L81">INDEX(DataValidation!$B$2:$B$11, _xlfn.XMATCH(K81, DataValidation!$A$2:$A$11))</f>
        <v>2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0</v>
      </c>
      <c r="V81">
        <v>2</v>
      </c>
      <c r="W81" s="23">
        <f t="shared" si="23"/>
        <v>3.2920000000000003</v>
      </c>
      <c r="X81" s="24">
        <f t="shared" si="24"/>
        <v>3.08</v>
      </c>
      <c r="Y81" s="24">
        <f t="shared" si="25"/>
        <v>1.6</v>
      </c>
      <c r="Z81" s="24">
        <f t="shared" si="26"/>
        <v>1</v>
      </c>
      <c r="AA81" s="24">
        <f t="shared" si="27"/>
        <v>3</v>
      </c>
      <c r="AB81" s="24">
        <f t="shared" si="28"/>
        <v>3.18</v>
      </c>
      <c r="AC81" s="24">
        <f t="shared" si="29"/>
        <v>1</v>
      </c>
      <c r="AD81" s="24">
        <f t="shared" si="30"/>
        <v>2</v>
      </c>
      <c r="AE81" s="24">
        <f t="shared" si="31"/>
        <v>1</v>
      </c>
      <c r="AF81" s="24">
        <f t="shared" si="32"/>
        <v>1</v>
      </c>
      <c r="AG81" s="24">
        <f t="shared" si="33"/>
        <v>1</v>
      </c>
      <c r="AH81" s="24">
        <f t="shared" si="34"/>
        <v>1</v>
      </c>
      <c r="AI81" s="24">
        <f t="shared" si="35"/>
        <v>1</v>
      </c>
      <c r="AJ81" s="24">
        <f t="shared" si="36"/>
        <v>1</v>
      </c>
      <c r="AK81" s="24">
        <f t="shared" si="37"/>
        <v>0</v>
      </c>
      <c r="AL81" s="24">
        <f t="shared" si="38"/>
        <v>0.5</v>
      </c>
      <c r="AM81" s="24">
        <f t="shared" si="39"/>
        <v>0</v>
      </c>
      <c r="AN81" s="24">
        <f t="shared" si="40"/>
        <v>4</v>
      </c>
      <c r="AO81" s="23">
        <f t="shared" si="42"/>
        <v>28.7</v>
      </c>
      <c r="AP81" s="24">
        <f t="shared" si="41"/>
        <v>25.4</v>
      </c>
    </row>
    <row r="82" spans="1:42" x14ac:dyDescent="0.25">
      <c r="A82" t="s">
        <v>46</v>
      </c>
      <c r="B82" t="s">
        <v>121</v>
      </c>
      <c r="C82" t="s">
        <v>9</v>
      </c>
      <c r="D82" s="5">
        <v>25310</v>
      </c>
      <c r="E82">
        <v>22.3</v>
      </c>
      <c r="F82">
        <v>0.02</v>
      </c>
      <c r="G82">
        <v>7</v>
      </c>
      <c r="H82">
        <v>6</v>
      </c>
      <c r="I82">
        <v>819</v>
      </c>
      <c r="J82">
        <v>1</v>
      </c>
      <c r="K82" t="s">
        <v>258</v>
      </c>
      <c r="L82" s="5" cm="1">
        <f t="array" ref="L82">INDEX(DataValidation!$B$2:$B$11, _xlfn.XMATCH(K82, DataValidation!$A$2:$A$11))</f>
        <v>2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2</v>
      </c>
      <c r="W82" s="23">
        <f t="shared" si="23"/>
        <v>3.2920000000000003</v>
      </c>
      <c r="X82" s="24">
        <f t="shared" si="24"/>
        <v>3.1080000000000001</v>
      </c>
      <c r="Y82" s="24">
        <f t="shared" si="25"/>
        <v>1.6</v>
      </c>
      <c r="Z82" s="24">
        <f t="shared" si="26"/>
        <v>1.4000000000000001</v>
      </c>
      <c r="AA82" s="24">
        <f t="shared" si="27"/>
        <v>3</v>
      </c>
      <c r="AB82" s="24">
        <f t="shared" si="28"/>
        <v>2.73</v>
      </c>
      <c r="AC82" s="24">
        <f t="shared" si="29"/>
        <v>1</v>
      </c>
      <c r="AD82" s="24">
        <f t="shared" si="30"/>
        <v>2</v>
      </c>
      <c r="AE82" s="24">
        <f t="shared" si="31"/>
        <v>1</v>
      </c>
      <c r="AF82" s="24">
        <f t="shared" si="32"/>
        <v>1</v>
      </c>
      <c r="AG82" s="24">
        <f t="shared" si="33"/>
        <v>1</v>
      </c>
      <c r="AH82" s="24">
        <f t="shared" si="34"/>
        <v>1</v>
      </c>
      <c r="AI82" s="24">
        <f t="shared" si="35"/>
        <v>1</v>
      </c>
      <c r="AJ82" s="24">
        <f t="shared" si="36"/>
        <v>1</v>
      </c>
      <c r="AK82" s="24">
        <f t="shared" si="37"/>
        <v>0</v>
      </c>
      <c r="AL82" s="24">
        <f t="shared" si="38"/>
        <v>0.5</v>
      </c>
      <c r="AM82" s="24">
        <f t="shared" si="39"/>
        <v>0</v>
      </c>
      <c r="AN82" s="24">
        <f t="shared" si="40"/>
        <v>4</v>
      </c>
      <c r="AO82" s="23">
        <f t="shared" si="42"/>
        <v>28.6</v>
      </c>
      <c r="AP82" s="24">
        <f t="shared" si="41"/>
        <v>25.3</v>
      </c>
    </row>
    <row r="83" spans="1:42" x14ac:dyDescent="0.25">
      <c r="A83" t="s">
        <v>46</v>
      </c>
      <c r="B83" t="s">
        <v>122</v>
      </c>
      <c r="C83" t="s">
        <v>9</v>
      </c>
      <c r="D83" s="5">
        <v>30300</v>
      </c>
      <c r="E83">
        <v>41.3</v>
      </c>
      <c r="F83">
        <v>0.03</v>
      </c>
      <c r="G83">
        <v>12</v>
      </c>
      <c r="H83">
        <v>6</v>
      </c>
      <c r="I83">
        <v>1327</v>
      </c>
      <c r="J83">
        <v>1</v>
      </c>
      <c r="K83" t="s">
        <v>258</v>
      </c>
      <c r="L83" s="5" cm="1">
        <f t="array" ref="L83">INDEX(DataValidation!$B$2:$B$11, _xlfn.XMATCH(K83, DataValidation!$A$2:$A$11))</f>
        <v>2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0</v>
      </c>
      <c r="T83">
        <v>1</v>
      </c>
      <c r="U83">
        <v>0</v>
      </c>
      <c r="V83">
        <v>2</v>
      </c>
      <c r="W83" s="23">
        <f t="shared" si="23"/>
        <v>2.6266666666666669</v>
      </c>
      <c r="X83" s="24">
        <f t="shared" si="24"/>
        <v>2.3480000000000003</v>
      </c>
      <c r="Y83" s="24">
        <f t="shared" si="25"/>
        <v>1.4000000000000001</v>
      </c>
      <c r="Z83" s="24">
        <f t="shared" si="26"/>
        <v>2.4000000000000004</v>
      </c>
      <c r="AA83" s="24">
        <f t="shared" si="27"/>
        <v>3</v>
      </c>
      <c r="AB83" s="24">
        <f t="shared" si="28"/>
        <v>4.4233333333333338</v>
      </c>
      <c r="AC83" s="24">
        <f t="shared" si="29"/>
        <v>1</v>
      </c>
      <c r="AD83" s="24">
        <f t="shared" si="30"/>
        <v>2</v>
      </c>
      <c r="AE83" s="24">
        <f t="shared" si="31"/>
        <v>1</v>
      </c>
      <c r="AF83" s="24">
        <f t="shared" si="32"/>
        <v>1</v>
      </c>
      <c r="AG83" s="24">
        <f t="shared" si="33"/>
        <v>1</v>
      </c>
      <c r="AH83" s="24">
        <f t="shared" si="34"/>
        <v>1</v>
      </c>
      <c r="AI83" s="24">
        <f t="shared" si="35"/>
        <v>1</v>
      </c>
      <c r="AJ83" s="24">
        <f t="shared" si="36"/>
        <v>1</v>
      </c>
      <c r="AK83" s="24">
        <f t="shared" si="37"/>
        <v>0</v>
      </c>
      <c r="AL83" s="24">
        <f t="shared" si="38"/>
        <v>0.5</v>
      </c>
      <c r="AM83" s="24">
        <f t="shared" si="39"/>
        <v>0</v>
      </c>
      <c r="AN83" s="24">
        <f t="shared" si="40"/>
        <v>4</v>
      </c>
      <c r="AO83" s="23">
        <f t="shared" si="42"/>
        <v>29.7</v>
      </c>
      <c r="AP83" s="24">
        <f t="shared" si="41"/>
        <v>27.1</v>
      </c>
    </row>
    <row r="84" spans="1:42" x14ac:dyDescent="0.25">
      <c r="A84" t="s">
        <v>46</v>
      </c>
      <c r="B84" t="s">
        <v>123</v>
      </c>
      <c r="C84" t="s">
        <v>9</v>
      </c>
      <c r="D84" s="5">
        <v>31310</v>
      </c>
      <c r="E84">
        <v>35.299999999999997</v>
      </c>
      <c r="F84">
        <v>0.03</v>
      </c>
      <c r="G84">
        <v>18</v>
      </c>
      <c r="H84">
        <v>6</v>
      </c>
      <c r="I84">
        <v>1073</v>
      </c>
      <c r="J84">
        <v>1</v>
      </c>
      <c r="K84" t="s">
        <v>258</v>
      </c>
      <c r="L84" s="5" cm="1">
        <f t="array" ref="L84">INDEX(DataValidation!$B$2:$B$11, _xlfn.XMATCH(K84, DataValidation!$A$2:$A$11))</f>
        <v>2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</v>
      </c>
      <c r="T84">
        <v>1</v>
      </c>
      <c r="U84">
        <v>0</v>
      </c>
      <c r="V84">
        <v>2</v>
      </c>
      <c r="W84" s="23">
        <f t="shared" si="23"/>
        <v>2.492</v>
      </c>
      <c r="X84" s="24">
        <f t="shared" si="24"/>
        <v>2.5880000000000001</v>
      </c>
      <c r="Y84" s="24">
        <f t="shared" si="25"/>
        <v>1.4000000000000001</v>
      </c>
      <c r="Z84" s="24">
        <f t="shared" si="26"/>
        <v>3.6</v>
      </c>
      <c r="AA84" s="24">
        <f t="shared" si="27"/>
        <v>3</v>
      </c>
      <c r="AB84" s="24">
        <f t="shared" si="28"/>
        <v>3.5766666666666671</v>
      </c>
      <c r="AC84" s="24">
        <f t="shared" si="29"/>
        <v>1</v>
      </c>
      <c r="AD84" s="24">
        <f t="shared" si="30"/>
        <v>2</v>
      </c>
      <c r="AE84" s="24">
        <f t="shared" si="31"/>
        <v>1</v>
      </c>
      <c r="AF84" s="24">
        <f t="shared" si="32"/>
        <v>1</v>
      </c>
      <c r="AG84" s="24">
        <f t="shared" si="33"/>
        <v>1</v>
      </c>
      <c r="AH84" s="24">
        <f t="shared" si="34"/>
        <v>1</v>
      </c>
      <c r="AI84" s="24">
        <f t="shared" si="35"/>
        <v>1</v>
      </c>
      <c r="AJ84" s="24">
        <f t="shared" si="36"/>
        <v>1</v>
      </c>
      <c r="AK84" s="24">
        <f t="shared" si="37"/>
        <v>0</v>
      </c>
      <c r="AL84" s="24">
        <f t="shared" si="38"/>
        <v>0.5</v>
      </c>
      <c r="AM84" s="24">
        <f t="shared" si="39"/>
        <v>0</v>
      </c>
      <c r="AN84" s="24">
        <f t="shared" si="40"/>
        <v>4</v>
      </c>
      <c r="AO84" s="23">
        <f t="shared" si="42"/>
        <v>30.2</v>
      </c>
      <c r="AP84" s="24">
        <f t="shared" si="41"/>
        <v>27.7</v>
      </c>
    </row>
    <row r="85" spans="1:42" x14ac:dyDescent="0.25">
      <c r="A85" t="s">
        <v>46</v>
      </c>
      <c r="B85" t="s">
        <v>124</v>
      </c>
      <c r="C85" t="s">
        <v>9</v>
      </c>
      <c r="D85" s="5">
        <v>18430</v>
      </c>
      <c r="E85">
        <v>12</v>
      </c>
      <c r="F85">
        <v>0.02</v>
      </c>
      <c r="G85">
        <v>3</v>
      </c>
      <c r="H85">
        <v>6</v>
      </c>
      <c r="I85">
        <v>626</v>
      </c>
      <c r="J85">
        <v>1</v>
      </c>
      <c r="K85" t="s">
        <v>258</v>
      </c>
      <c r="L85" s="5" cm="1">
        <f t="array" ref="L85">INDEX(DataValidation!$B$2:$B$11, _xlfn.XMATCH(K85, DataValidation!$A$2:$A$11))</f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0</v>
      </c>
      <c r="V85">
        <v>2</v>
      </c>
      <c r="W85" s="23">
        <f t="shared" si="23"/>
        <v>4.2093333333333334</v>
      </c>
      <c r="X85" s="24">
        <f t="shared" si="24"/>
        <v>3.52</v>
      </c>
      <c r="Y85" s="24">
        <f t="shared" si="25"/>
        <v>1.6</v>
      </c>
      <c r="Z85" s="24">
        <f t="shared" si="26"/>
        <v>0.60000000000000009</v>
      </c>
      <c r="AA85" s="24">
        <f t="shared" si="27"/>
        <v>3</v>
      </c>
      <c r="AB85" s="24">
        <f t="shared" si="28"/>
        <v>2.0866666666666669</v>
      </c>
      <c r="AC85" s="24">
        <f t="shared" si="29"/>
        <v>1</v>
      </c>
      <c r="AD85" s="24">
        <f t="shared" si="30"/>
        <v>2</v>
      </c>
      <c r="AE85" s="24">
        <f t="shared" si="31"/>
        <v>1</v>
      </c>
      <c r="AF85" s="24">
        <f t="shared" si="32"/>
        <v>1</v>
      </c>
      <c r="AG85" s="24">
        <f t="shared" si="33"/>
        <v>1</v>
      </c>
      <c r="AH85" s="24">
        <f t="shared" si="34"/>
        <v>1</v>
      </c>
      <c r="AI85" s="24">
        <f t="shared" si="35"/>
        <v>1</v>
      </c>
      <c r="AJ85" s="24">
        <f t="shared" si="36"/>
        <v>1</v>
      </c>
      <c r="AK85" s="24">
        <f t="shared" si="37"/>
        <v>0</v>
      </c>
      <c r="AL85" s="24">
        <f t="shared" si="38"/>
        <v>0.5</v>
      </c>
      <c r="AM85" s="24">
        <f t="shared" si="39"/>
        <v>0</v>
      </c>
      <c r="AN85" s="24">
        <f t="shared" si="40"/>
        <v>4</v>
      </c>
      <c r="AO85" s="23">
        <f t="shared" si="42"/>
        <v>28.5</v>
      </c>
      <c r="AP85" s="24">
        <f t="shared" si="41"/>
        <v>24.3</v>
      </c>
    </row>
    <row r="86" spans="1:42" x14ac:dyDescent="0.25">
      <c r="A86" t="s">
        <v>46</v>
      </c>
      <c r="B86" t="s">
        <v>125</v>
      </c>
      <c r="C86" t="s">
        <v>9</v>
      </c>
      <c r="D86" s="5">
        <v>20940</v>
      </c>
      <c r="E86">
        <v>23</v>
      </c>
      <c r="F86">
        <v>0.02</v>
      </c>
      <c r="G86">
        <v>5</v>
      </c>
      <c r="H86">
        <v>6</v>
      </c>
      <c r="I86">
        <v>954</v>
      </c>
      <c r="J86">
        <v>1</v>
      </c>
      <c r="K86" t="s">
        <v>258</v>
      </c>
      <c r="L86" s="5" cm="1">
        <f t="array" ref="L86">INDEX(DataValidation!$B$2:$B$11, _xlfn.XMATCH(K86, DataValidation!$A$2:$A$11))</f>
        <v>2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1</v>
      </c>
      <c r="U86">
        <v>0</v>
      </c>
      <c r="V86">
        <v>2</v>
      </c>
      <c r="W86" s="23">
        <f t="shared" si="23"/>
        <v>3.8746666666666667</v>
      </c>
      <c r="X86" s="24">
        <f t="shared" si="24"/>
        <v>3.08</v>
      </c>
      <c r="Y86" s="24">
        <f t="shared" si="25"/>
        <v>1.6</v>
      </c>
      <c r="Z86" s="24">
        <f t="shared" si="26"/>
        <v>1</v>
      </c>
      <c r="AA86" s="24">
        <f t="shared" si="27"/>
        <v>3</v>
      </c>
      <c r="AB86" s="24">
        <f t="shared" si="28"/>
        <v>3.18</v>
      </c>
      <c r="AC86" s="24">
        <f t="shared" si="29"/>
        <v>1</v>
      </c>
      <c r="AD86" s="24">
        <f t="shared" si="30"/>
        <v>2</v>
      </c>
      <c r="AE86" s="24">
        <f t="shared" si="31"/>
        <v>1</v>
      </c>
      <c r="AF86" s="24">
        <f t="shared" si="32"/>
        <v>1</v>
      </c>
      <c r="AG86" s="24">
        <f t="shared" si="33"/>
        <v>1</v>
      </c>
      <c r="AH86" s="24">
        <f t="shared" si="34"/>
        <v>1</v>
      </c>
      <c r="AI86" s="24">
        <f t="shared" si="35"/>
        <v>1</v>
      </c>
      <c r="AJ86" s="24">
        <f t="shared" si="36"/>
        <v>1</v>
      </c>
      <c r="AK86" s="24">
        <f t="shared" si="37"/>
        <v>0</v>
      </c>
      <c r="AL86" s="24">
        <f t="shared" si="38"/>
        <v>0.5</v>
      </c>
      <c r="AM86" s="24">
        <f t="shared" si="39"/>
        <v>0</v>
      </c>
      <c r="AN86" s="24">
        <f t="shared" si="40"/>
        <v>4</v>
      </c>
      <c r="AO86" s="23">
        <f t="shared" si="42"/>
        <v>29.2</v>
      </c>
      <c r="AP86" s="24">
        <f t="shared" si="41"/>
        <v>25.4</v>
      </c>
    </row>
    <row r="87" spans="1:42" x14ac:dyDescent="0.25">
      <c r="A87" t="s">
        <v>46</v>
      </c>
      <c r="B87" t="s">
        <v>126</v>
      </c>
      <c r="C87" t="s">
        <v>9</v>
      </c>
      <c r="D87" s="5">
        <v>20940</v>
      </c>
      <c r="E87">
        <v>22.3</v>
      </c>
      <c r="F87">
        <v>0.02</v>
      </c>
      <c r="G87">
        <v>7</v>
      </c>
      <c r="H87">
        <v>6</v>
      </c>
      <c r="I87">
        <v>819</v>
      </c>
      <c r="J87">
        <v>1</v>
      </c>
      <c r="K87" t="s">
        <v>258</v>
      </c>
      <c r="L87" s="5" cm="1">
        <f t="array" ref="L87">INDEX(DataValidation!$B$2:$B$11, _xlfn.XMATCH(K87, DataValidation!$A$2:$A$11))</f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1</v>
      </c>
      <c r="U87">
        <v>0</v>
      </c>
      <c r="V87">
        <v>2</v>
      </c>
      <c r="W87" s="23">
        <f t="shared" si="23"/>
        <v>3.8746666666666667</v>
      </c>
      <c r="X87" s="24">
        <f t="shared" si="24"/>
        <v>3.1080000000000001</v>
      </c>
      <c r="Y87" s="24">
        <f t="shared" si="25"/>
        <v>1.6</v>
      </c>
      <c r="Z87" s="24">
        <f t="shared" si="26"/>
        <v>1.4000000000000001</v>
      </c>
      <c r="AA87" s="24">
        <f t="shared" si="27"/>
        <v>3</v>
      </c>
      <c r="AB87" s="24">
        <f t="shared" si="28"/>
        <v>2.73</v>
      </c>
      <c r="AC87" s="24">
        <f t="shared" si="29"/>
        <v>1</v>
      </c>
      <c r="AD87" s="24">
        <f t="shared" si="30"/>
        <v>2</v>
      </c>
      <c r="AE87" s="24">
        <f t="shared" si="31"/>
        <v>1</v>
      </c>
      <c r="AF87" s="24">
        <f t="shared" si="32"/>
        <v>1</v>
      </c>
      <c r="AG87" s="24">
        <f t="shared" si="33"/>
        <v>1</v>
      </c>
      <c r="AH87" s="24">
        <f t="shared" si="34"/>
        <v>1</v>
      </c>
      <c r="AI87" s="24">
        <f t="shared" si="35"/>
        <v>1</v>
      </c>
      <c r="AJ87" s="24">
        <f t="shared" si="36"/>
        <v>1</v>
      </c>
      <c r="AK87" s="24">
        <f t="shared" si="37"/>
        <v>0</v>
      </c>
      <c r="AL87" s="24">
        <f t="shared" si="38"/>
        <v>0.5</v>
      </c>
      <c r="AM87" s="24">
        <f t="shared" si="39"/>
        <v>0</v>
      </c>
      <c r="AN87" s="24">
        <f t="shared" si="40"/>
        <v>4</v>
      </c>
      <c r="AO87" s="23">
        <f t="shared" si="42"/>
        <v>29.2</v>
      </c>
      <c r="AP87" s="24">
        <f t="shared" si="41"/>
        <v>25.3</v>
      </c>
    </row>
    <row r="88" spans="1:42" x14ac:dyDescent="0.25">
      <c r="A88" t="s">
        <v>46</v>
      </c>
      <c r="B88" t="s">
        <v>128</v>
      </c>
      <c r="C88" t="s">
        <v>9</v>
      </c>
      <c r="D88" s="5">
        <v>25440</v>
      </c>
      <c r="E88">
        <v>41.3</v>
      </c>
      <c r="F88">
        <v>0.03</v>
      </c>
      <c r="G88">
        <v>12</v>
      </c>
      <c r="H88">
        <v>6</v>
      </c>
      <c r="I88">
        <v>1327</v>
      </c>
      <c r="J88">
        <v>1</v>
      </c>
      <c r="K88" t="s">
        <v>258</v>
      </c>
      <c r="L88" s="5" cm="1">
        <f t="array" ref="L88">INDEX(DataValidation!$B$2:$B$11, _xlfn.XMATCH(K88, DataValidation!$A$2:$A$11))</f>
        <v>2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0</v>
      </c>
      <c r="V88">
        <v>2</v>
      </c>
      <c r="W88" s="23">
        <f t="shared" si="23"/>
        <v>3.2746666666666666</v>
      </c>
      <c r="X88" s="24">
        <f t="shared" si="24"/>
        <v>2.3480000000000003</v>
      </c>
      <c r="Y88" s="24">
        <f t="shared" si="25"/>
        <v>1.4000000000000001</v>
      </c>
      <c r="Z88" s="24">
        <f t="shared" si="26"/>
        <v>2.4000000000000004</v>
      </c>
      <c r="AA88" s="24">
        <f t="shared" si="27"/>
        <v>3</v>
      </c>
      <c r="AB88" s="24">
        <f t="shared" si="28"/>
        <v>4.4233333333333338</v>
      </c>
      <c r="AC88" s="24">
        <f t="shared" si="29"/>
        <v>1</v>
      </c>
      <c r="AD88" s="24">
        <f t="shared" si="30"/>
        <v>2</v>
      </c>
      <c r="AE88" s="24">
        <f t="shared" si="31"/>
        <v>1</v>
      </c>
      <c r="AF88" s="24">
        <f t="shared" si="32"/>
        <v>1</v>
      </c>
      <c r="AG88" s="24">
        <f t="shared" si="33"/>
        <v>1</v>
      </c>
      <c r="AH88" s="24">
        <f t="shared" si="34"/>
        <v>1</v>
      </c>
      <c r="AI88" s="24">
        <f t="shared" si="35"/>
        <v>1</v>
      </c>
      <c r="AJ88" s="24">
        <f t="shared" si="36"/>
        <v>1</v>
      </c>
      <c r="AK88" s="24">
        <f t="shared" si="37"/>
        <v>0</v>
      </c>
      <c r="AL88" s="24">
        <f t="shared" si="38"/>
        <v>0.5</v>
      </c>
      <c r="AM88" s="24">
        <f t="shared" si="39"/>
        <v>0</v>
      </c>
      <c r="AN88" s="24">
        <f t="shared" si="40"/>
        <v>4</v>
      </c>
      <c r="AO88" s="23">
        <f t="shared" si="42"/>
        <v>30.3</v>
      </c>
      <c r="AP88" s="24">
        <f t="shared" si="41"/>
        <v>27.1</v>
      </c>
    </row>
    <row r="89" spans="1:42" x14ac:dyDescent="0.25">
      <c r="A89" t="s">
        <v>46</v>
      </c>
      <c r="B89" t="s">
        <v>127</v>
      </c>
      <c r="C89" t="s">
        <v>9</v>
      </c>
      <c r="D89" s="5">
        <v>26450</v>
      </c>
      <c r="E89">
        <v>35.299999999999997</v>
      </c>
      <c r="F89">
        <v>0.03</v>
      </c>
      <c r="G89">
        <v>18</v>
      </c>
      <c r="H89">
        <v>6</v>
      </c>
      <c r="I89">
        <v>1073</v>
      </c>
      <c r="J89">
        <v>1</v>
      </c>
      <c r="K89" t="s">
        <v>258</v>
      </c>
      <c r="L89" s="5" cm="1">
        <f t="array" ref="L89">INDEX(DataValidation!$B$2:$B$11, _xlfn.XMATCH(K89, DataValidation!$A$2:$A$11))</f>
        <v>2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>
        <v>0</v>
      </c>
      <c r="V89">
        <v>2</v>
      </c>
      <c r="W89" s="23">
        <f t="shared" si="23"/>
        <v>3.14</v>
      </c>
      <c r="X89" s="24">
        <f t="shared" si="24"/>
        <v>2.5880000000000001</v>
      </c>
      <c r="Y89" s="24">
        <f t="shared" si="25"/>
        <v>1.4000000000000001</v>
      </c>
      <c r="Z89" s="24">
        <f t="shared" si="26"/>
        <v>3.6</v>
      </c>
      <c r="AA89" s="24">
        <f t="shared" si="27"/>
        <v>3</v>
      </c>
      <c r="AB89" s="24">
        <f t="shared" si="28"/>
        <v>3.5766666666666671</v>
      </c>
      <c r="AC89" s="24">
        <f t="shared" si="29"/>
        <v>1</v>
      </c>
      <c r="AD89" s="24">
        <f t="shared" si="30"/>
        <v>2</v>
      </c>
      <c r="AE89" s="24">
        <f t="shared" si="31"/>
        <v>1</v>
      </c>
      <c r="AF89" s="24">
        <f t="shared" si="32"/>
        <v>1</v>
      </c>
      <c r="AG89" s="24">
        <f t="shared" si="33"/>
        <v>1</v>
      </c>
      <c r="AH89" s="24">
        <f t="shared" si="34"/>
        <v>1</v>
      </c>
      <c r="AI89" s="24">
        <f t="shared" si="35"/>
        <v>1</v>
      </c>
      <c r="AJ89" s="24">
        <f t="shared" si="36"/>
        <v>1</v>
      </c>
      <c r="AK89" s="24">
        <f t="shared" si="37"/>
        <v>0</v>
      </c>
      <c r="AL89" s="24">
        <f t="shared" si="38"/>
        <v>0.5</v>
      </c>
      <c r="AM89" s="24">
        <f t="shared" si="39"/>
        <v>0</v>
      </c>
      <c r="AN89" s="24">
        <f t="shared" si="40"/>
        <v>4</v>
      </c>
      <c r="AO89" s="23">
        <f t="shared" si="42"/>
        <v>30.8</v>
      </c>
      <c r="AP89" s="24">
        <f t="shared" si="41"/>
        <v>27.7</v>
      </c>
    </row>
    <row r="90" spans="1:42" x14ac:dyDescent="0.25">
      <c r="A90" t="s">
        <v>46</v>
      </c>
      <c r="B90" t="s">
        <v>129</v>
      </c>
      <c r="C90" t="s">
        <v>9</v>
      </c>
      <c r="D90" s="5">
        <v>20450</v>
      </c>
      <c r="E90">
        <v>23</v>
      </c>
      <c r="F90">
        <v>0.02</v>
      </c>
      <c r="G90">
        <v>5</v>
      </c>
      <c r="H90">
        <v>6</v>
      </c>
      <c r="I90">
        <v>954</v>
      </c>
      <c r="J90">
        <v>1</v>
      </c>
      <c r="K90" t="s">
        <v>258</v>
      </c>
      <c r="L90" s="5" cm="1">
        <f t="array" ref="L90">INDEX(DataValidation!$B$2:$B$11, _xlfn.XMATCH(K90, DataValidation!$A$2:$A$11))</f>
        <v>2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1</v>
      </c>
      <c r="U90">
        <v>0</v>
      </c>
      <c r="V90">
        <v>2</v>
      </c>
      <c r="W90" s="23">
        <f t="shared" si="23"/>
        <v>3.9400000000000004</v>
      </c>
      <c r="X90" s="24">
        <f t="shared" si="24"/>
        <v>3.08</v>
      </c>
      <c r="Y90" s="24">
        <f t="shared" si="25"/>
        <v>1.6</v>
      </c>
      <c r="Z90" s="24">
        <f t="shared" si="26"/>
        <v>1</v>
      </c>
      <c r="AA90" s="24">
        <f t="shared" si="27"/>
        <v>3</v>
      </c>
      <c r="AB90" s="24">
        <f t="shared" si="28"/>
        <v>3.18</v>
      </c>
      <c r="AC90" s="24">
        <f t="shared" si="29"/>
        <v>1</v>
      </c>
      <c r="AD90" s="24">
        <f t="shared" si="30"/>
        <v>2</v>
      </c>
      <c r="AE90" s="24">
        <f t="shared" si="31"/>
        <v>0</v>
      </c>
      <c r="AF90" s="24">
        <f t="shared" si="32"/>
        <v>1</v>
      </c>
      <c r="AG90" s="24">
        <f t="shared" si="33"/>
        <v>1</v>
      </c>
      <c r="AH90" s="24">
        <f t="shared" si="34"/>
        <v>1</v>
      </c>
      <c r="AI90" s="24">
        <f t="shared" si="35"/>
        <v>1</v>
      </c>
      <c r="AJ90" s="24">
        <f t="shared" si="36"/>
        <v>1</v>
      </c>
      <c r="AK90" s="24">
        <f t="shared" si="37"/>
        <v>0</v>
      </c>
      <c r="AL90" s="24">
        <f t="shared" si="38"/>
        <v>0.5</v>
      </c>
      <c r="AM90" s="24">
        <f t="shared" si="39"/>
        <v>0</v>
      </c>
      <c r="AN90" s="24">
        <f t="shared" si="40"/>
        <v>4</v>
      </c>
      <c r="AO90" s="23">
        <f t="shared" si="42"/>
        <v>28.3</v>
      </c>
      <c r="AP90" s="24">
        <f t="shared" si="41"/>
        <v>24.4</v>
      </c>
    </row>
    <row r="91" spans="1:42" x14ac:dyDescent="0.25">
      <c r="A91" t="s">
        <v>46</v>
      </c>
      <c r="B91" t="s">
        <v>130</v>
      </c>
      <c r="C91" t="s">
        <v>9</v>
      </c>
      <c r="D91" s="5">
        <v>23560</v>
      </c>
      <c r="E91">
        <v>41</v>
      </c>
      <c r="F91">
        <v>0.02</v>
      </c>
      <c r="G91">
        <v>12</v>
      </c>
      <c r="H91">
        <v>6</v>
      </c>
      <c r="I91">
        <v>1327</v>
      </c>
      <c r="J91">
        <v>1</v>
      </c>
      <c r="K91" t="s">
        <v>258</v>
      </c>
      <c r="L91" s="5" cm="1">
        <f t="array" ref="L91">INDEX(DataValidation!$B$2:$B$11, _xlfn.XMATCH(K91, DataValidation!$A$2:$A$11))</f>
        <v>2</v>
      </c>
      <c r="M91">
        <v>0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1</v>
      </c>
      <c r="U91">
        <v>0</v>
      </c>
      <c r="V91">
        <v>2</v>
      </c>
      <c r="W91" s="23">
        <f t="shared" si="23"/>
        <v>3.5253333333333337</v>
      </c>
      <c r="X91" s="24">
        <f t="shared" si="24"/>
        <v>2.36</v>
      </c>
      <c r="Y91" s="24">
        <f t="shared" si="25"/>
        <v>1.6</v>
      </c>
      <c r="Z91" s="24">
        <f t="shared" si="26"/>
        <v>2.4000000000000004</v>
      </c>
      <c r="AA91" s="24">
        <f t="shared" si="27"/>
        <v>3</v>
      </c>
      <c r="AB91" s="24">
        <f t="shared" si="28"/>
        <v>4.4233333333333338</v>
      </c>
      <c r="AC91" s="24">
        <f t="shared" si="29"/>
        <v>1</v>
      </c>
      <c r="AD91" s="24">
        <f t="shared" si="30"/>
        <v>2</v>
      </c>
      <c r="AE91" s="24">
        <f t="shared" si="31"/>
        <v>0</v>
      </c>
      <c r="AF91" s="24">
        <f t="shared" si="32"/>
        <v>1</v>
      </c>
      <c r="AG91" s="24">
        <f t="shared" si="33"/>
        <v>1</v>
      </c>
      <c r="AH91" s="24">
        <f t="shared" si="34"/>
        <v>1</v>
      </c>
      <c r="AI91" s="24">
        <f t="shared" si="35"/>
        <v>1</v>
      </c>
      <c r="AJ91" s="24">
        <f t="shared" si="36"/>
        <v>1</v>
      </c>
      <c r="AK91" s="24">
        <f t="shared" si="37"/>
        <v>0</v>
      </c>
      <c r="AL91" s="24">
        <f t="shared" si="38"/>
        <v>0.5</v>
      </c>
      <c r="AM91" s="24">
        <f t="shared" si="39"/>
        <v>0</v>
      </c>
      <c r="AN91" s="24">
        <f t="shared" si="40"/>
        <v>4</v>
      </c>
      <c r="AO91" s="23">
        <f t="shared" si="42"/>
        <v>29.8</v>
      </c>
      <c r="AP91" s="24">
        <f t="shared" si="41"/>
        <v>26.3</v>
      </c>
    </row>
    <row r="92" spans="1:42" x14ac:dyDescent="0.25">
      <c r="A92" t="s">
        <v>46</v>
      </c>
      <c r="B92" t="s">
        <v>131</v>
      </c>
      <c r="C92" t="s">
        <v>9</v>
      </c>
      <c r="D92" s="5">
        <v>26710</v>
      </c>
      <c r="E92">
        <v>73.900000000000006</v>
      </c>
      <c r="F92">
        <v>0.03</v>
      </c>
      <c r="G92">
        <v>16</v>
      </c>
      <c r="H92">
        <v>6</v>
      </c>
      <c r="I92">
        <v>1713</v>
      </c>
      <c r="J92">
        <v>1</v>
      </c>
      <c r="K92" t="s">
        <v>258</v>
      </c>
      <c r="L92" s="5" cm="1">
        <f t="array" ref="L92">INDEX(DataValidation!$B$2:$B$11, _xlfn.XMATCH(K92, DataValidation!$A$2:$A$11))</f>
        <v>2</v>
      </c>
      <c r="M92">
        <v>0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1</v>
      </c>
      <c r="U92">
        <v>0</v>
      </c>
      <c r="V92">
        <v>2</v>
      </c>
      <c r="W92" s="23">
        <f t="shared" si="23"/>
        <v>3.1053333333333333</v>
      </c>
      <c r="X92" s="24">
        <f t="shared" si="24"/>
        <v>1.0439999999999998</v>
      </c>
      <c r="Y92" s="24">
        <f t="shared" si="25"/>
        <v>1.4000000000000001</v>
      </c>
      <c r="Z92" s="24">
        <f t="shared" si="26"/>
        <v>3.2</v>
      </c>
      <c r="AA92" s="24">
        <f t="shared" si="27"/>
        <v>3</v>
      </c>
      <c r="AB92" s="24">
        <f t="shared" si="28"/>
        <v>5.71</v>
      </c>
      <c r="AC92" s="24">
        <f t="shared" si="29"/>
        <v>1</v>
      </c>
      <c r="AD92" s="24">
        <f t="shared" si="30"/>
        <v>2</v>
      </c>
      <c r="AE92" s="24">
        <f t="shared" si="31"/>
        <v>0</v>
      </c>
      <c r="AF92" s="24">
        <f t="shared" si="32"/>
        <v>1</v>
      </c>
      <c r="AG92" s="24">
        <f t="shared" si="33"/>
        <v>1</v>
      </c>
      <c r="AH92" s="24">
        <f t="shared" si="34"/>
        <v>1</v>
      </c>
      <c r="AI92" s="24">
        <f t="shared" si="35"/>
        <v>1</v>
      </c>
      <c r="AJ92" s="24">
        <f t="shared" si="36"/>
        <v>1</v>
      </c>
      <c r="AK92" s="24">
        <f t="shared" si="37"/>
        <v>0</v>
      </c>
      <c r="AL92" s="24">
        <f t="shared" si="38"/>
        <v>0.5</v>
      </c>
      <c r="AM92" s="24">
        <f t="shared" si="39"/>
        <v>0</v>
      </c>
      <c r="AN92" s="24">
        <f t="shared" si="40"/>
        <v>4</v>
      </c>
      <c r="AO92" s="23">
        <f t="shared" si="42"/>
        <v>30</v>
      </c>
      <c r="AP92" s="24">
        <f t="shared" si="41"/>
        <v>26.9</v>
      </c>
    </row>
    <row r="93" spans="1:42" x14ac:dyDescent="0.25">
      <c r="A93" t="s">
        <v>46</v>
      </c>
      <c r="B93" t="s">
        <v>51</v>
      </c>
      <c r="C93" t="s">
        <v>9</v>
      </c>
      <c r="D93" s="5">
        <v>6500</v>
      </c>
      <c r="E93">
        <v>9.4</v>
      </c>
      <c r="F93">
        <v>0.1</v>
      </c>
      <c r="G93">
        <v>1</v>
      </c>
      <c r="H93">
        <v>6</v>
      </c>
      <c r="I93">
        <v>580</v>
      </c>
      <c r="J93">
        <v>1</v>
      </c>
      <c r="K93" t="s">
        <v>258</v>
      </c>
      <c r="L93" s="5" cm="1">
        <f t="array" ref="L93">INDEX(DataValidation!$B$2:$B$11, _xlfn.XMATCH(K93, DataValidation!$A$2:$A$11))</f>
        <v>2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2</v>
      </c>
      <c r="W93" s="23">
        <f t="shared" si="23"/>
        <v>5.8000000000000007</v>
      </c>
      <c r="X93" s="24">
        <f t="shared" si="24"/>
        <v>3.6239999999999997</v>
      </c>
      <c r="Y93" s="24">
        <f t="shared" si="25"/>
        <v>0</v>
      </c>
      <c r="Z93" s="24">
        <f t="shared" si="26"/>
        <v>0.2</v>
      </c>
      <c r="AA93" s="24">
        <f t="shared" si="27"/>
        <v>3</v>
      </c>
      <c r="AB93" s="24">
        <f t="shared" si="28"/>
        <v>1.9333333333333333</v>
      </c>
      <c r="AC93" s="24">
        <f t="shared" si="29"/>
        <v>1</v>
      </c>
      <c r="AD93" s="24">
        <f t="shared" si="30"/>
        <v>2</v>
      </c>
      <c r="AE93" s="24">
        <f t="shared" si="31"/>
        <v>0</v>
      </c>
      <c r="AF93" s="24">
        <f t="shared" si="32"/>
        <v>1</v>
      </c>
      <c r="AG93" s="24">
        <f t="shared" si="33"/>
        <v>0</v>
      </c>
      <c r="AH93" s="24">
        <f t="shared" si="34"/>
        <v>0</v>
      </c>
      <c r="AI93" s="24">
        <f t="shared" si="35"/>
        <v>1</v>
      </c>
      <c r="AJ93" s="24">
        <f t="shared" si="36"/>
        <v>0</v>
      </c>
      <c r="AK93" s="24">
        <f t="shared" si="37"/>
        <v>0</v>
      </c>
      <c r="AL93" s="24">
        <f t="shared" si="38"/>
        <v>0.5</v>
      </c>
      <c r="AM93" s="24">
        <f t="shared" si="39"/>
        <v>0</v>
      </c>
      <c r="AN93" s="24">
        <f t="shared" si="40"/>
        <v>4</v>
      </c>
      <c r="AO93" s="23">
        <f t="shared" si="42"/>
        <v>24.1</v>
      </c>
      <c r="AP93" s="24">
        <f t="shared" si="41"/>
        <v>18.3</v>
      </c>
    </row>
    <row r="94" spans="1:42" x14ac:dyDescent="0.25">
      <c r="A94" t="s">
        <v>346</v>
      </c>
      <c r="B94" t="s">
        <v>347</v>
      </c>
      <c r="C94" t="s">
        <v>87</v>
      </c>
      <c r="D94" s="5">
        <v>37500</v>
      </c>
      <c r="E94">
        <v>35</v>
      </c>
      <c r="F94">
        <v>0.1</v>
      </c>
      <c r="G94">
        <v>10</v>
      </c>
      <c r="H94">
        <v>7</v>
      </c>
      <c r="I94">
        <v>1400</v>
      </c>
      <c r="J94">
        <v>1</v>
      </c>
      <c r="K94" t="s">
        <v>294</v>
      </c>
      <c r="L94" s="5" cm="1">
        <f t="array" ref="L94">INDEX(DataValidation!$B$2:$B$11, _xlfn.XMATCH(K94, DataValidation!$A$2:$A$11))</f>
        <v>1</v>
      </c>
      <c r="M94">
        <v>0</v>
      </c>
      <c r="N94">
        <v>1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2</v>
      </c>
      <c r="W94" s="23">
        <f t="shared" si="23"/>
        <v>1.6666666666666667</v>
      </c>
      <c r="X94" s="24">
        <f t="shared" si="24"/>
        <v>2.6</v>
      </c>
      <c r="Y94" s="24">
        <f t="shared" si="25"/>
        <v>0</v>
      </c>
      <c r="Z94" s="24">
        <f t="shared" si="26"/>
        <v>2</v>
      </c>
      <c r="AA94" s="24">
        <f t="shared" si="27"/>
        <v>3.5</v>
      </c>
      <c r="AB94" s="24">
        <f t="shared" si="28"/>
        <v>4.666666666666667</v>
      </c>
      <c r="AC94" s="24">
        <f t="shared" si="29"/>
        <v>1</v>
      </c>
      <c r="AD94" s="24">
        <f t="shared" si="30"/>
        <v>1</v>
      </c>
      <c r="AE94" s="24">
        <f t="shared" si="31"/>
        <v>0</v>
      </c>
      <c r="AF94" s="24">
        <f t="shared" si="32"/>
        <v>1</v>
      </c>
      <c r="AG94" s="24">
        <f t="shared" si="33"/>
        <v>0</v>
      </c>
      <c r="AH94" s="24">
        <f t="shared" si="34"/>
        <v>0</v>
      </c>
      <c r="AI94" s="24">
        <f t="shared" si="35"/>
        <v>1</v>
      </c>
      <c r="AJ94" s="24">
        <f t="shared" si="36"/>
        <v>1</v>
      </c>
      <c r="AK94" s="24">
        <f t="shared" si="37"/>
        <v>0</v>
      </c>
      <c r="AL94" s="24">
        <f t="shared" si="38"/>
        <v>0</v>
      </c>
      <c r="AM94" s="24">
        <f t="shared" si="39"/>
        <v>0</v>
      </c>
      <c r="AN94" s="24">
        <f t="shared" si="40"/>
        <v>4</v>
      </c>
      <c r="AO94" s="23">
        <f t="shared" si="42"/>
        <v>23.4</v>
      </c>
      <c r="AP94" s="24">
        <f t="shared" si="41"/>
        <v>21.8</v>
      </c>
    </row>
    <row r="95" spans="1:42" x14ac:dyDescent="0.25">
      <c r="A95" t="s">
        <v>346</v>
      </c>
      <c r="B95" t="s">
        <v>348</v>
      </c>
      <c r="C95" t="s">
        <v>87</v>
      </c>
      <c r="D95" s="5">
        <v>29100</v>
      </c>
      <c r="E95">
        <v>23.5</v>
      </c>
      <c r="F95">
        <v>0.1</v>
      </c>
      <c r="G95">
        <v>10</v>
      </c>
      <c r="H95">
        <v>7</v>
      </c>
      <c r="I95">
        <v>850</v>
      </c>
      <c r="J95">
        <v>1</v>
      </c>
      <c r="K95" t="s">
        <v>294</v>
      </c>
      <c r="L95" s="5" cm="1">
        <f t="array" ref="L95">INDEX(DataValidation!$B$2:$B$11, _xlfn.XMATCH(K95, DataValidation!$A$2:$A$11))</f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2</v>
      </c>
      <c r="W95" s="23">
        <f t="shared" si="23"/>
        <v>2.7866666666666666</v>
      </c>
      <c r="X95" s="24">
        <f t="shared" si="24"/>
        <v>3.06</v>
      </c>
      <c r="Y95" s="24">
        <f t="shared" si="25"/>
        <v>0</v>
      </c>
      <c r="Z95" s="24">
        <f t="shared" si="26"/>
        <v>2</v>
      </c>
      <c r="AA95" s="24">
        <f t="shared" si="27"/>
        <v>3.5</v>
      </c>
      <c r="AB95" s="24">
        <f t="shared" si="28"/>
        <v>2.8333333333333335</v>
      </c>
      <c r="AC95" s="24">
        <f t="shared" si="29"/>
        <v>1</v>
      </c>
      <c r="AD95" s="24">
        <f t="shared" si="30"/>
        <v>1</v>
      </c>
      <c r="AE95" s="24">
        <f t="shared" si="31"/>
        <v>0</v>
      </c>
      <c r="AF95" s="24">
        <f t="shared" si="32"/>
        <v>1</v>
      </c>
      <c r="AG95" s="24">
        <f t="shared" si="33"/>
        <v>0</v>
      </c>
      <c r="AH95" s="24">
        <f t="shared" si="34"/>
        <v>0</v>
      </c>
      <c r="AI95" s="24">
        <f t="shared" si="35"/>
        <v>1</v>
      </c>
      <c r="AJ95" s="24">
        <f t="shared" si="36"/>
        <v>1</v>
      </c>
      <c r="AK95" s="24">
        <f t="shared" si="37"/>
        <v>0</v>
      </c>
      <c r="AL95" s="24">
        <f t="shared" si="38"/>
        <v>0</v>
      </c>
      <c r="AM95" s="24">
        <f t="shared" si="39"/>
        <v>0</v>
      </c>
      <c r="AN95" s="24">
        <f t="shared" si="40"/>
        <v>4</v>
      </c>
      <c r="AO95" s="23">
        <f t="shared" si="42"/>
        <v>23.2</v>
      </c>
      <c r="AP95" s="24">
        <f t="shared" si="41"/>
        <v>20.399999999999999</v>
      </c>
    </row>
    <row r="96" spans="1:42" x14ac:dyDescent="0.25">
      <c r="A96" t="s">
        <v>346</v>
      </c>
      <c r="B96" t="s">
        <v>349</v>
      </c>
      <c r="C96" t="s">
        <v>87</v>
      </c>
      <c r="D96" s="5">
        <v>31500</v>
      </c>
      <c r="E96">
        <v>25</v>
      </c>
      <c r="F96">
        <v>0.1</v>
      </c>
      <c r="G96">
        <v>5</v>
      </c>
      <c r="H96">
        <v>7</v>
      </c>
      <c r="I96">
        <v>1200</v>
      </c>
      <c r="J96">
        <v>1</v>
      </c>
      <c r="K96" t="s">
        <v>294</v>
      </c>
      <c r="L96" s="5" cm="1">
        <f t="array" ref="L96">INDEX(DataValidation!$B$2:$B$11, _xlfn.XMATCH(K96, DataValidation!$A$2:$A$11))</f>
        <v>1</v>
      </c>
      <c r="M96">
        <v>0</v>
      </c>
      <c r="N96">
        <v>1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2</v>
      </c>
      <c r="W96" s="23">
        <f t="shared" si="23"/>
        <v>2.4666666666666668</v>
      </c>
      <c r="X96" s="24">
        <f t="shared" si="24"/>
        <v>3</v>
      </c>
      <c r="Y96" s="24">
        <f t="shared" si="25"/>
        <v>0</v>
      </c>
      <c r="Z96" s="24">
        <f t="shared" si="26"/>
        <v>1</v>
      </c>
      <c r="AA96" s="24">
        <f t="shared" si="27"/>
        <v>3.5</v>
      </c>
      <c r="AB96" s="24">
        <f t="shared" si="28"/>
        <v>4</v>
      </c>
      <c r="AC96" s="24">
        <f t="shared" si="29"/>
        <v>1</v>
      </c>
      <c r="AD96" s="24">
        <f t="shared" si="30"/>
        <v>1</v>
      </c>
      <c r="AE96" s="24">
        <f t="shared" si="31"/>
        <v>0</v>
      </c>
      <c r="AF96" s="24">
        <f t="shared" si="32"/>
        <v>1</v>
      </c>
      <c r="AG96" s="24">
        <f t="shared" si="33"/>
        <v>0</v>
      </c>
      <c r="AH96" s="24">
        <f t="shared" si="34"/>
        <v>0</v>
      </c>
      <c r="AI96" s="24">
        <f t="shared" si="35"/>
        <v>1</v>
      </c>
      <c r="AJ96" s="24">
        <f t="shared" si="36"/>
        <v>1</v>
      </c>
      <c r="AK96" s="24">
        <f t="shared" si="37"/>
        <v>0</v>
      </c>
      <c r="AL96" s="24">
        <f t="shared" si="38"/>
        <v>0</v>
      </c>
      <c r="AM96" s="24">
        <f t="shared" si="39"/>
        <v>0</v>
      </c>
      <c r="AN96" s="24">
        <f t="shared" si="40"/>
        <v>4</v>
      </c>
      <c r="AO96" s="23">
        <f t="shared" si="42"/>
        <v>23</v>
      </c>
      <c r="AP96" s="24">
        <f t="shared" si="41"/>
        <v>20.5</v>
      </c>
    </row>
    <row r="97" spans="1:42" x14ac:dyDescent="0.25">
      <c r="A97" t="s">
        <v>346</v>
      </c>
      <c r="B97" t="s">
        <v>350</v>
      </c>
      <c r="C97" t="s">
        <v>87</v>
      </c>
      <c r="D97" s="5">
        <v>41500</v>
      </c>
      <c r="E97">
        <v>45</v>
      </c>
      <c r="F97">
        <v>0.1</v>
      </c>
      <c r="G97">
        <v>5</v>
      </c>
      <c r="H97">
        <v>7</v>
      </c>
      <c r="I97">
        <v>1800</v>
      </c>
      <c r="J97">
        <v>1</v>
      </c>
      <c r="K97" t="s">
        <v>294</v>
      </c>
      <c r="L97" s="5" cm="1">
        <f t="array" ref="L97">INDEX(DataValidation!$B$2:$B$11, _xlfn.XMATCH(K97, DataValidation!$A$2:$A$11))</f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2</v>
      </c>
      <c r="W97" s="23">
        <f t="shared" si="23"/>
        <v>1.1333333333333333</v>
      </c>
      <c r="X97" s="24">
        <f t="shared" si="24"/>
        <v>2.2000000000000002</v>
      </c>
      <c r="Y97" s="24">
        <f t="shared" si="25"/>
        <v>0</v>
      </c>
      <c r="Z97" s="24">
        <f t="shared" si="26"/>
        <v>1</v>
      </c>
      <c r="AA97" s="24">
        <f t="shared" si="27"/>
        <v>3.5</v>
      </c>
      <c r="AB97" s="24">
        <f t="shared" si="28"/>
        <v>6</v>
      </c>
      <c r="AC97" s="24">
        <f t="shared" si="29"/>
        <v>1</v>
      </c>
      <c r="AD97" s="24">
        <f t="shared" si="30"/>
        <v>1</v>
      </c>
      <c r="AE97" s="24">
        <f t="shared" si="31"/>
        <v>0</v>
      </c>
      <c r="AF97" s="24">
        <f t="shared" si="32"/>
        <v>1</v>
      </c>
      <c r="AG97" s="24">
        <f t="shared" si="33"/>
        <v>0</v>
      </c>
      <c r="AH97" s="24">
        <f t="shared" si="34"/>
        <v>0</v>
      </c>
      <c r="AI97" s="24">
        <f t="shared" si="35"/>
        <v>1</v>
      </c>
      <c r="AJ97" s="24">
        <f t="shared" si="36"/>
        <v>1</v>
      </c>
      <c r="AK97" s="24">
        <f t="shared" si="37"/>
        <v>0</v>
      </c>
      <c r="AL97" s="24">
        <f t="shared" si="38"/>
        <v>0</v>
      </c>
      <c r="AM97" s="24">
        <f t="shared" si="39"/>
        <v>0</v>
      </c>
      <c r="AN97" s="24">
        <f t="shared" si="40"/>
        <v>4</v>
      </c>
      <c r="AO97" s="23">
        <f t="shared" si="42"/>
        <v>22.8</v>
      </c>
      <c r="AP97" s="24">
        <f t="shared" si="41"/>
        <v>21.7</v>
      </c>
    </row>
    <row r="98" spans="1:42" x14ac:dyDescent="0.25">
      <c r="A98" t="s">
        <v>346</v>
      </c>
      <c r="B98" t="s">
        <v>351</v>
      </c>
      <c r="C98" t="s">
        <v>87</v>
      </c>
      <c r="D98" s="5">
        <v>37500</v>
      </c>
      <c r="E98">
        <v>34</v>
      </c>
      <c r="F98">
        <v>0.1</v>
      </c>
      <c r="G98">
        <v>18</v>
      </c>
      <c r="H98">
        <v>7</v>
      </c>
      <c r="I98">
        <v>1000</v>
      </c>
      <c r="J98">
        <v>1</v>
      </c>
      <c r="K98" t="s">
        <v>294</v>
      </c>
      <c r="L98" s="5" cm="1">
        <f t="array" ref="L98">INDEX(DataValidation!$B$2:$B$11, _xlfn.XMATCH(K98, DataValidation!$A$2:$A$11))</f>
        <v>1</v>
      </c>
      <c r="M98">
        <v>0</v>
      </c>
      <c r="N98">
        <v>1</v>
      </c>
      <c r="O98">
        <v>0</v>
      </c>
      <c r="P98">
        <v>0</v>
      </c>
      <c r="Q98">
        <v>1</v>
      </c>
      <c r="R98">
        <v>1</v>
      </c>
      <c r="S98">
        <v>0</v>
      </c>
      <c r="T98">
        <v>1</v>
      </c>
      <c r="U98">
        <v>0</v>
      </c>
      <c r="V98">
        <v>2</v>
      </c>
      <c r="W98" s="23">
        <f t="shared" si="23"/>
        <v>1.6666666666666667</v>
      </c>
      <c r="X98" s="24">
        <f t="shared" si="24"/>
        <v>2.64</v>
      </c>
      <c r="Y98" s="24">
        <f t="shared" si="25"/>
        <v>0</v>
      </c>
      <c r="Z98" s="24">
        <f t="shared" si="26"/>
        <v>3.6</v>
      </c>
      <c r="AA98" s="24">
        <f t="shared" si="27"/>
        <v>3.5</v>
      </c>
      <c r="AB98" s="24">
        <f t="shared" si="28"/>
        <v>3.3333333333333335</v>
      </c>
      <c r="AC98" s="24">
        <f t="shared" si="29"/>
        <v>1</v>
      </c>
      <c r="AD98" s="24">
        <f t="shared" si="30"/>
        <v>1</v>
      </c>
      <c r="AE98" s="24">
        <f t="shared" si="31"/>
        <v>0</v>
      </c>
      <c r="AF98" s="24">
        <f t="shared" si="32"/>
        <v>1</v>
      </c>
      <c r="AG98" s="24">
        <f t="shared" si="33"/>
        <v>0</v>
      </c>
      <c r="AH98" s="24">
        <f t="shared" si="34"/>
        <v>0</v>
      </c>
      <c r="AI98" s="24">
        <f t="shared" si="35"/>
        <v>1</v>
      </c>
      <c r="AJ98" s="24">
        <f t="shared" si="36"/>
        <v>1</v>
      </c>
      <c r="AK98" s="24">
        <f t="shared" si="37"/>
        <v>0</v>
      </c>
      <c r="AL98" s="24">
        <f t="shared" si="38"/>
        <v>0.5</v>
      </c>
      <c r="AM98" s="24">
        <f t="shared" si="39"/>
        <v>0</v>
      </c>
      <c r="AN98" s="24">
        <f t="shared" si="40"/>
        <v>4</v>
      </c>
      <c r="AO98" s="23">
        <f t="shared" si="42"/>
        <v>24.2</v>
      </c>
      <c r="AP98" s="24">
        <f t="shared" si="41"/>
        <v>22.6</v>
      </c>
    </row>
    <row r="99" spans="1:42" x14ac:dyDescent="0.25">
      <c r="A99" t="s">
        <v>352</v>
      </c>
      <c r="B99" t="s">
        <v>132</v>
      </c>
      <c r="C99" t="s">
        <v>54</v>
      </c>
      <c r="E99">
        <v>210</v>
      </c>
      <c r="F99">
        <v>0.05</v>
      </c>
      <c r="G99">
        <v>2</v>
      </c>
      <c r="H99">
        <v>4</v>
      </c>
      <c r="I99">
        <v>760</v>
      </c>
      <c r="J99">
        <v>2</v>
      </c>
      <c r="K99" t="s">
        <v>294</v>
      </c>
      <c r="L99" s="5" cm="1">
        <f t="array" ref="L99">INDEX(DataValidation!$B$2:$B$11, _xlfn.XMATCH(K99, DataValidation!$A$2:$A$11))</f>
        <v>1</v>
      </c>
      <c r="M99">
        <v>0</v>
      </c>
      <c r="N99">
        <v>1</v>
      </c>
      <c r="O99">
        <v>0</v>
      </c>
      <c r="P99">
        <v>1</v>
      </c>
      <c r="Q99">
        <v>1</v>
      </c>
      <c r="R99">
        <v>1</v>
      </c>
      <c r="S99">
        <v>0</v>
      </c>
      <c r="T99">
        <v>0</v>
      </c>
      <c r="U99">
        <v>0</v>
      </c>
      <c r="V99">
        <v>2</v>
      </c>
      <c r="W99" s="23">
        <f t="shared" si="23"/>
        <v>0</v>
      </c>
      <c r="X99" s="24">
        <f t="shared" si="24"/>
        <v>-4.4000000000000004</v>
      </c>
      <c r="Y99" s="24">
        <f t="shared" si="25"/>
        <v>1</v>
      </c>
      <c r="Z99" s="24">
        <f t="shared" si="26"/>
        <v>0.4</v>
      </c>
      <c r="AA99" s="24">
        <f t="shared" si="27"/>
        <v>2</v>
      </c>
      <c r="AB99" s="24">
        <f t="shared" si="28"/>
        <v>2.5333333333333337</v>
      </c>
      <c r="AC99" s="24">
        <f t="shared" si="29"/>
        <v>2</v>
      </c>
      <c r="AD99" s="24">
        <f t="shared" si="30"/>
        <v>1</v>
      </c>
      <c r="AE99" s="24">
        <f t="shared" si="31"/>
        <v>0</v>
      </c>
      <c r="AF99" s="24">
        <f t="shared" si="32"/>
        <v>1</v>
      </c>
      <c r="AG99" s="24">
        <f t="shared" si="33"/>
        <v>0</v>
      </c>
      <c r="AH99" s="24">
        <f t="shared" si="34"/>
        <v>1</v>
      </c>
      <c r="AI99" s="24">
        <f t="shared" si="35"/>
        <v>1</v>
      </c>
      <c r="AJ99" s="24">
        <f t="shared" si="36"/>
        <v>1</v>
      </c>
      <c r="AK99" s="24">
        <f t="shared" si="37"/>
        <v>0</v>
      </c>
      <c r="AL99" s="24">
        <f t="shared" si="38"/>
        <v>0</v>
      </c>
      <c r="AM99" s="24">
        <f t="shared" si="39"/>
        <v>0</v>
      </c>
      <c r="AN99" s="24">
        <f t="shared" si="40"/>
        <v>4</v>
      </c>
      <c r="AO99" s="23">
        <f t="shared" si="42"/>
        <v>12.5</v>
      </c>
      <c r="AP99" s="24">
        <f t="shared" si="41"/>
        <v>12.5</v>
      </c>
    </row>
    <row r="100" spans="1:42" x14ac:dyDescent="0.25">
      <c r="A100" t="s">
        <v>352</v>
      </c>
      <c r="B100" t="s">
        <v>133</v>
      </c>
      <c r="C100" t="s">
        <v>54</v>
      </c>
      <c r="E100">
        <v>220</v>
      </c>
      <c r="F100">
        <v>0.05</v>
      </c>
      <c r="G100">
        <v>3</v>
      </c>
      <c r="H100">
        <v>4</v>
      </c>
      <c r="I100">
        <v>785</v>
      </c>
      <c r="J100">
        <v>2</v>
      </c>
      <c r="K100" t="s">
        <v>294</v>
      </c>
      <c r="L100" s="5" cm="1">
        <f t="array" ref="L100">INDEX(DataValidation!$B$2:$B$11, _xlfn.XMATCH(K100, DataValidation!$A$2:$A$11))</f>
        <v>1</v>
      </c>
      <c r="M100">
        <v>0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2</v>
      </c>
      <c r="W100" s="23">
        <f t="shared" si="23"/>
        <v>0</v>
      </c>
      <c r="X100" s="24">
        <f t="shared" si="24"/>
        <v>-4.8</v>
      </c>
      <c r="Y100" s="24">
        <f t="shared" si="25"/>
        <v>1</v>
      </c>
      <c r="Z100" s="24">
        <f t="shared" si="26"/>
        <v>0.60000000000000009</v>
      </c>
      <c r="AA100" s="24">
        <f t="shared" si="27"/>
        <v>2</v>
      </c>
      <c r="AB100" s="24">
        <f t="shared" si="28"/>
        <v>2.6166666666666667</v>
      </c>
      <c r="AC100" s="24">
        <f t="shared" si="29"/>
        <v>2</v>
      </c>
      <c r="AD100" s="24">
        <f t="shared" si="30"/>
        <v>1</v>
      </c>
      <c r="AE100" s="24">
        <f t="shared" si="31"/>
        <v>0</v>
      </c>
      <c r="AF100" s="24">
        <f t="shared" si="32"/>
        <v>1</v>
      </c>
      <c r="AG100" s="24">
        <f t="shared" si="33"/>
        <v>0</v>
      </c>
      <c r="AH100" s="24">
        <f t="shared" si="34"/>
        <v>1</v>
      </c>
      <c r="AI100" s="24">
        <f t="shared" si="35"/>
        <v>1</v>
      </c>
      <c r="AJ100" s="24">
        <f t="shared" si="36"/>
        <v>1</v>
      </c>
      <c r="AK100" s="24">
        <f t="shared" si="37"/>
        <v>0</v>
      </c>
      <c r="AL100" s="24">
        <f t="shared" si="38"/>
        <v>0</v>
      </c>
      <c r="AM100" s="24">
        <f t="shared" si="39"/>
        <v>0</v>
      </c>
      <c r="AN100" s="24">
        <f t="shared" si="40"/>
        <v>4</v>
      </c>
      <c r="AO100" s="23">
        <f t="shared" si="42"/>
        <v>12.4</v>
      </c>
      <c r="AP100" s="24">
        <f t="shared" si="41"/>
        <v>12.4</v>
      </c>
    </row>
    <row r="101" spans="1:42" x14ac:dyDescent="0.25">
      <c r="A101" t="s">
        <v>352</v>
      </c>
      <c r="B101" t="s">
        <v>134</v>
      </c>
      <c r="C101" t="s">
        <v>54</v>
      </c>
      <c r="E101">
        <v>17</v>
      </c>
      <c r="F101">
        <v>0.02</v>
      </c>
      <c r="G101">
        <v>3</v>
      </c>
      <c r="H101">
        <v>6</v>
      </c>
      <c r="I101">
        <v>590</v>
      </c>
      <c r="J101">
        <v>1</v>
      </c>
      <c r="K101" t="s">
        <v>294</v>
      </c>
      <c r="L101" s="5" cm="1">
        <f t="array" ref="L101">INDEX(DataValidation!$B$2:$B$11, _xlfn.XMATCH(K101, DataValidation!$A$2:$A$11))</f>
        <v>1</v>
      </c>
      <c r="M101">
        <v>0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2</v>
      </c>
      <c r="W101" s="23">
        <f t="shared" si="23"/>
        <v>0</v>
      </c>
      <c r="X101" s="24">
        <f t="shared" si="24"/>
        <v>3.3200000000000003</v>
      </c>
      <c r="Y101" s="24">
        <f t="shared" si="25"/>
        <v>1.6</v>
      </c>
      <c r="Z101" s="24">
        <f t="shared" si="26"/>
        <v>0.60000000000000009</v>
      </c>
      <c r="AA101" s="24">
        <f t="shared" si="27"/>
        <v>3</v>
      </c>
      <c r="AB101" s="24">
        <f t="shared" si="28"/>
        <v>1.9666666666666668</v>
      </c>
      <c r="AC101" s="24">
        <f t="shared" si="29"/>
        <v>1</v>
      </c>
      <c r="AD101" s="24">
        <f t="shared" si="30"/>
        <v>1</v>
      </c>
      <c r="AE101" s="24">
        <f t="shared" si="31"/>
        <v>0</v>
      </c>
      <c r="AF101" s="24">
        <f t="shared" si="32"/>
        <v>1</v>
      </c>
      <c r="AG101" s="24">
        <f t="shared" si="33"/>
        <v>0</v>
      </c>
      <c r="AH101" s="24">
        <f t="shared" si="34"/>
        <v>1</v>
      </c>
      <c r="AI101" s="24">
        <f t="shared" si="35"/>
        <v>1</v>
      </c>
      <c r="AJ101" s="24">
        <f t="shared" si="36"/>
        <v>1</v>
      </c>
      <c r="AK101" s="24">
        <f t="shared" si="37"/>
        <v>0</v>
      </c>
      <c r="AL101" s="24">
        <f t="shared" si="38"/>
        <v>0</v>
      </c>
      <c r="AM101" s="24">
        <f t="shared" si="39"/>
        <v>0</v>
      </c>
      <c r="AN101" s="24">
        <f t="shared" si="40"/>
        <v>4</v>
      </c>
      <c r="AO101" s="23">
        <f t="shared" si="42"/>
        <v>20.5</v>
      </c>
      <c r="AP101" s="24">
        <f t="shared" si="41"/>
        <v>20.5</v>
      </c>
    </row>
    <row r="102" spans="1:42" x14ac:dyDescent="0.25">
      <c r="A102" t="s">
        <v>352</v>
      </c>
      <c r="B102" t="s">
        <v>135</v>
      </c>
      <c r="C102" t="s">
        <v>54</v>
      </c>
      <c r="E102">
        <v>26</v>
      </c>
      <c r="F102">
        <v>0.02</v>
      </c>
      <c r="G102">
        <v>5</v>
      </c>
      <c r="H102">
        <v>6</v>
      </c>
      <c r="I102">
        <v>800</v>
      </c>
      <c r="J102">
        <v>1</v>
      </c>
      <c r="K102" t="s">
        <v>294</v>
      </c>
      <c r="L102" s="5" cm="1">
        <f t="array" ref="L102">INDEX(DataValidation!$B$2:$B$11, _xlfn.XMATCH(K102, DataValidation!$A$2:$A$11))</f>
        <v>1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2</v>
      </c>
      <c r="W102" s="23">
        <f t="shared" si="23"/>
        <v>0</v>
      </c>
      <c r="X102" s="24">
        <f t="shared" si="24"/>
        <v>2.96</v>
      </c>
      <c r="Y102" s="24">
        <f t="shared" si="25"/>
        <v>1.6</v>
      </c>
      <c r="Z102" s="24">
        <f t="shared" si="26"/>
        <v>1</v>
      </c>
      <c r="AA102" s="24">
        <f t="shared" si="27"/>
        <v>3</v>
      </c>
      <c r="AB102" s="24">
        <f t="shared" si="28"/>
        <v>2.666666666666667</v>
      </c>
      <c r="AC102" s="24">
        <f t="shared" si="29"/>
        <v>1</v>
      </c>
      <c r="AD102" s="24">
        <f t="shared" si="30"/>
        <v>1</v>
      </c>
      <c r="AE102" s="24">
        <f t="shared" si="31"/>
        <v>0</v>
      </c>
      <c r="AF102" s="24">
        <f t="shared" si="32"/>
        <v>1</v>
      </c>
      <c r="AG102" s="24">
        <f t="shared" si="33"/>
        <v>0</v>
      </c>
      <c r="AH102" s="24">
        <f t="shared" si="34"/>
        <v>1</v>
      </c>
      <c r="AI102" s="24">
        <f t="shared" si="35"/>
        <v>1</v>
      </c>
      <c r="AJ102" s="24">
        <f t="shared" si="36"/>
        <v>1</v>
      </c>
      <c r="AK102" s="24">
        <f t="shared" si="37"/>
        <v>0</v>
      </c>
      <c r="AL102" s="24">
        <f t="shared" si="38"/>
        <v>0</v>
      </c>
      <c r="AM102" s="24">
        <f t="shared" si="39"/>
        <v>0</v>
      </c>
      <c r="AN102" s="24">
        <f t="shared" si="40"/>
        <v>4</v>
      </c>
      <c r="AO102" s="23">
        <f t="shared" si="42"/>
        <v>21.2</v>
      </c>
      <c r="AP102" s="24">
        <f t="shared" si="41"/>
        <v>21.2</v>
      </c>
    </row>
    <row r="103" spans="1:42" x14ac:dyDescent="0.25">
      <c r="A103" t="s">
        <v>352</v>
      </c>
      <c r="B103" t="s">
        <v>136</v>
      </c>
      <c r="C103" t="s">
        <v>54</v>
      </c>
      <c r="E103">
        <v>48</v>
      </c>
      <c r="F103">
        <v>0.02</v>
      </c>
      <c r="G103">
        <v>8</v>
      </c>
      <c r="H103">
        <v>6</v>
      </c>
      <c r="I103">
        <v>1300</v>
      </c>
      <c r="J103">
        <v>1</v>
      </c>
      <c r="K103" t="s">
        <v>294</v>
      </c>
      <c r="L103" s="5" cm="1">
        <f t="array" ref="L103">INDEX(DataValidation!$B$2:$B$11, _xlfn.XMATCH(K103, DataValidation!$A$2:$A$11))</f>
        <v>1</v>
      </c>
      <c r="M103">
        <v>0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2</v>
      </c>
      <c r="W103" s="23">
        <f t="shared" si="23"/>
        <v>0</v>
      </c>
      <c r="X103" s="24">
        <f t="shared" si="24"/>
        <v>2.08</v>
      </c>
      <c r="Y103" s="24">
        <f t="shared" si="25"/>
        <v>1.6</v>
      </c>
      <c r="Z103" s="24">
        <f t="shared" si="26"/>
        <v>1.6</v>
      </c>
      <c r="AA103" s="24">
        <f t="shared" si="27"/>
        <v>3</v>
      </c>
      <c r="AB103" s="24">
        <f t="shared" si="28"/>
        <v>4.3333333333333339</v>
      </c>
      <c r="AC103" s="24">
        <f t="shared" si="29"/>
        <v>1</v>
      </c>
      <c r="AD103" s="24">
        <f t="shared" si="30"/>
        <v>1</v>
      </c>
      <c r="AE103" s="24">
        <f t="shared" si="31"/>
        <v>0</v>
      </c>
      <c r="AF103" s="24">
        <f t="shared" si="32"/>
        <v>1</v>
      </c>
      <c r="AG103" s="24">
        <f t="shared" si="33"/>
        <v>0</v>
      </c>
      <c r="AH103" s="24">
        <f t="shared" si="34"/>
        <v>1</v>
      </c>
      <c r="AI103" s="24">
        <f t="shared" si="35"/>
        <v>1</v>
      </c>
      <c r="AJ103" s="24">
        <f t="shared" si="36"/>
        <v>1</v>
      </c>
      <c r="AK103" s="24">
        <f t="shared" si="37"/>
        <v>0</v>
      </c>
      <c r="AL103" s="24">
        <f t="shared" si="38"/>
        <v>0</v>
      </c>
      <c r="AM103" s="24">
        <f t="shared" si="39"/>
        <v>0</v>
      </c>
      <c r="AN103" s="24">
        <f t="shared" si="40"/>
        <v>4</v>
      </c>
      <c r="AO103" s="23">
        <f t="shared" si="42"/>
        <v>22.6</v>
      </c>
      <c r="AP103" s="24">
        <f t="shared" si="41"/>
        <v>22.6</v>
      </c>
    </row>
    <row r="104" spans="1:42" x14ac:dyDescent="0.25">
      <c r="A104" t="s">
        <v>352</v>
      </c>
      <c r="B104" t="s">
        <v>137</v>
      </c>
      <c r="C104" t="s">
        <v>54</v>
      </c>
      <c r="E104">
        <v>42</v>
      </c>
      <c r="F104">
        <v>0.02</v>
      </c>
      <c r="G104">
        <v>10</v>
      </c>
      <c r="H104">
        <v>6</v>
      </c>
      <c r="I104">
        <v>1000</v>
      </c>
      <c r="J104">
        <v>1</v>
      </c>
      <c r="K104" t="s">
        <v>294</v>
      </c>
      <c r="L104" s="5" cm="1">
        <f t="array" ref="L104">INDEX(DataValidation!$B$2:$B$11, _xlfn.XMATCH(K104, DataValidation!$A$2:$A$11))</f>
        <v>1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2</v>
      </c>
      <c r="W104" s="23">
        <f t="shared" si="23"/>
        <v>0</v>
      </c>
      <c r="X104" s="24">
        <f t="shared" si="24"/>
        <v>2.3199999999999998</v>
      </c>
      <c r="Y104" s="24">
        <f t="shared" si="25"/>
        <v>1.6</v>
      </c>
      <c r="Z104" s="24">
        <f t="shared" si="26"/>
        <v>2</v>
      </c>
      <c r="AA104" s="24">
        <f t="shared" si="27"/>
        <v>3</v>
      </c>
      <c r="AB104" s="24">
        <f t="shared" si="28"/>
        <v>3.3333333333333335</v>
      </c>
      <c r="AC104" s="24">
        <f t="shared" si="29"/>
        <v>1</v>
      </c>
      <c r="AD104" s="24">
        <f t="shared" si="30"/>
        <v>1</v>
      </c>
      <c r="AE104" s="24">
        <f t="shared" si="31"/>
        <v>0</v>
      </c>
      <c r="AF104" s="24">
        <f t="shared" si="32"/>
        <v>1</v>
      </c>
      <c r="AG104" s="24">
        <f t="shared" si="33"/>
        <v>0</v>
      </c>
      <c r="AH104" s="24">
        <f t="shared" si="34"/>
        <v>1</v>
      </c>
      <c r="AI104" s="24">
        <f t="shared" si="35"/>
        <v>1</v>
      </c>
      <c r="AJ104" s="24">
        <f t="shared" si="36"/>
        <v>1</v>
      </c>
      <c r="AK104" s="24">
        <f t="shared" si="37"/>
        <v>0</v>
      </c>
      <c r="AL104" s="24">
        <f t="shared" si="38"/>
        <v>0</v>
      </c>
      <c r="AM104" s="24">
        <f t="shared" si="39"/>
        <v>0</v>
      </c>
      <c r="AN104" s="24">
        <f t="shared" si="40"/>
        <v>4</v>
      </c>
      <c r="AO104" s="23">
        <f t="shared" si="42"/>
        <v>22.3</v>
      </c>
      <c r="AP104" s="24">
        <f t="shared" si="41"/>
        <v>22.3</v>
      </c>
    </row>
    <row r="105" spans="1:42" x14ac:dyDescent="0.25">
      <c r="A105" t="s">
        <v>353</v>
      </c>
      <c r="B105" t="s">
        <v>354</v>
      </c>
      <c r="C105" t="s">
        <v>355</v>
      </c>
      <c r="E105">
        <v>5.4</v>
      </c>
      <c r="G105">
        <v>0.5</v>
      </c>
      <c r="H105">
        <v>6</v>
      </c>
      <c r="I105">
        <v>760</v>
      </c>
      <c r="J105">
        <v>1</v>
      </c>
      <c r="K105" t="s">
        <v>304</v>
      </c>
      <c r="L105" s="5" cm="1">
        <f t="array" ref="L105">INDEX(DataValidation!$B$2:$B$11, _xlfn.XMATCH(K105, DataValidation!$A$2:$A$11))</f>
        <v>3</v>
      </c>
      <c r="M105">
        <v>0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2</v>
      </c>
      <c r="W105" s="23">
        <f t="shared" si="23"/>
        <v>0</v>
      </c>
      <c r="X105" s="24">
        <f t="shared" si="24"/>
        <v>3.7839999999999998</v>
      </c>
      <c r="Y105" s="24">
        <f t="shared" si="25"/>
        <v>0</v>
      </c>
      <c r="Z105" s="24">
        <f t="shared" si="26"/>
        <v>0.1</v>
      </c>
      <c r="AA105" s="24">
        <f t="shared" si="27"/>
        <v>3</v>
      </c>
      <c r="AB105" s="24">
        <f t="shared" si="28"/>
        <v>2.5333333333333337</v>
      </c>
      <c r="AC105" s="24">
        <f t="shared" si="29"/>
        <v>1</v>
      </c>
      <c r="AD105" s="24">
        <f t="shared" si="30"/>
        <v>3</v>
      </c>
      <c r="AE105" s="24">
        <f t="shared" si="31"/>
        <v>0</v>
      </c>
      <c r="AF105" s="24">
        <f t="shared" si="32"/>
        <v>1</v>
      </c>
      <c r="AG105" s="24">
        <f t="shared" si="33"/>
        <v>0</v>
      </c>
      <c r="AH105" s="24">
        <f t="shared" si="34"/>
        <v>0</v>
      </c>
      <c r="AI105" s="24">
        <f t="shared" si="35"/>
        <v>1</v>
      </c>
      <c r="AJ105" s="24">
        <f t="shared" si="36"/>
        <v>0</v>
      </c>
      <c r="AK105" s="24">
        <f t="shared" si="37"/>
        <v>0</v>
      </c>
      <c r="AL105" s="24">
        <f t="shared" si="38"/>
        <v>0</v>
      </c>
      <c r="AM105" s="24">
        <f t="shared" si="39"/>
        <v>0</v>
      </c>
      <c r="AN105" s="24">
        <f t="shared" si="40"/>
        <v>4</v>
      </c>
      <c r="AO105" s="23">
        <f t="shared" si="42"/>
        <v>19.399999999999999</v>
      </c>
      <c r="AP105" s="24">
        <f t="shared" si="41"/>
        <v>19.399999999999999</v>
      </c>
    </row>
    <row r="106" spans="1:42" x14ac:dyDescent="0.25">
      <c r="A106" t="s">
        <v>4</v>
      </c>
      <c r="B106" t="s">
        <v>139</v>
      </c>
      <c r="C106" t="s">
        <v>9</v>
      </c>
      <c r="D106" s="5">
        <v>23445</v>
      </c>
      <c r="E106">
        <v>22.8</v>
      </c>
      <c r="F106">
        <v>0.1</v>
      </c>
      <c r="G106">
        <v>3</v>
      </c>
      <c r="H106">
        <v>6</v>
      </c>
      <c r="I106">
        <v>760</v>
      </c>
      <c r="J106">
        <v>1</v>
      </c>
      <c r="K106" t="s">
        <v>294</v>
      </c>
      <c r="L106" s="5" cm="1">
        <f t="array" ref="L106">INDEX(DataValidation!$B$2:$B$11, _xlfn.XMATCH(K106, DataValidation!$A$2:$A$11))</f>
        <v>1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2</v>
      </c>
      <c r="W106" s="23">
        <f t="shared" si="23"/>
        <v>3.5406666666666666</v>
      </c>
      <c r="X106" s="24">
        <f t="shared" si="24"/>
        <v>3.0880000000000001</v>
      </c>
      <c r="Y106" s="24">
        <f t="shared" si="25"/>
        <v>0</v>
      </c>
      <c r="Z106" s="24">
        <f t="shared" si="26"/>
        <v>0.60000000000000009</v>
      </c>
      <c r="AA106" s="24">
        <f t="shared" si="27"/>
        <v>3</v>
      </c>
      <c r="AB106" s="24">
        <f t="shared" si="28"/>
        <v>2.5333333333333337</v>
      </c>
      <c r="AC106" s="24">
        <f t="shared" si="29"/>
        <v>1</v>
      </c>
      <c r="AD106" s="24">
        <f t="shared" si="30"/>
        <v>1</v>
      </c>
      <c r="AE106" s="24">
        <f t="shared" si="31"/>
        <v>0</v>
      </c>
      <c r="AF106" s="24">
        <f t="shared" si="32"/>
        <v>1</v>
      </c>
      <c r="AG106" s="24">
        <f t="shared" si="33"/>
        <v>0</v>
      </c>
      <c r="AH106" s="24">
        <f t="shared" si="34"/>
        <v>0</v>
      </c>
      <c r="AI106" s="24">
        <f t="shared" si="35"/>
        <v>1</v>
      </c>
      <c r="AJ106" s="24">
        <f t="shared" si="36"/>
        <v>0</v>
      </c>
      <c r="AK106" s="24">
        <f t="shared" si="37"/>
        <v>0</v>
      </c>
      <c r="AL106" s="24">
        <f t="shared" si="38"/>
        <v>0.5</v>
      </c>
      <c r="AM106" s="24">
        <f t="shared" si="39"/>
        <v>0</v>
      </c>
      <c r="AN106" s="24">
        <f t="shared" si="40"/>
        <v>4</v>
      </c>
      <c r="AO106" s="23">
        <f t="shared" si="42"/>
        <v>21.3</v>
      </c>
      <c r="AP106" s="24">
        <f t="shared" si="41"/>
        <v>17.7</v>
      </c>
    </row>
    <row r="107" spans="1:42" x14ac:dyDescent="0.25">
      <c r="A107" t="s">
        <v>4</v>
      </c>
      <c r="B107" t="s">
        <v>141</v>
      </c>
      <c r="C107" t="s">
        <v>9</v>
      </c>
      <c r="D107" s="5">
        <v>28085</v>
      </c>
      <c r="E107">
        <v>46.3</v>
      </c>
      <c r="F107">
        <v>0.05</v>
      </c>
      <c r="G107">
        <v>6</v>
      </c>
      <c r="H107">
        <v>6</v>
      </c>
      <c r="I107">
        <v>1300</v>
      </c>
      <c r="J107">
        <v>1</v>
      </c>
      <c r="K107" t="s">
        <v>294</v>
      </c>
      <c r="L107" s="5" cm="1">
        <f t="array" ref="L107">INDEX(DataValidation!$B$2:$B$11, _xlfn.XMATCH(K107, DataValidation!$A$2:$A$11))</f>
        <v>1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2</v>
      </c>
      <c r="W107" s="23">
        <f t="shared" si="23"/>
        <v>2.9220000000000002</v>
      </c>
      <c r="X107" s="24">
        <f t="shared" si="24"/>
        <v>2.1480000000000001</v>
      </c>
      <c r="Y107" s="24">
        <f t="shared" si="25"/>
        <v>1</v>
      </c>
      <c r="Z107" s="24">
        <f t="shared" si="26"/>
        <v>1.2000000000000002</v>
      </c>
      <c r="AA107" s="24">
        <f t="shared" si="27"/>
        <v>3</v>
      </c>
      <c r="AB107" s="24">
        <f t="shared" si="28"/>
        <v>4.3333333333333339</v>
      </c>
      <c r="AC107" s="24">
        <f t="shared" si="29"/>
        <v>1</v>
      </c>
      <c r="AD107" s="24">
        <f t="shared" si="30"/>
        <v>1</v>
      </c>
      <c r="AE107" s="24">
        <f t="shared" si="31"/>
        <v>0</v>
      </c>
      <c r="AF107" s="24">
        <f t="shared" si="32"/>
        <v>1</v>
      </c>
      <c r="AG107" s="24">
        <f t="shared" si="33"/>
        <v>0</v>
      </c>
      <c r="AH107" s="24">
        <f t="shared" si="34"/>
        <v>0</v>
      </c>
      <c r="AI107" s="24">
        <f t="shared" si="35"/>
        <v>1</v>
      </c>
      <c r="AJ107" s="24">
        <f t="shared" si="36"/>
        <v>0</v>
      </c>
      <c r="AK107" s="24">
        <f t="shared" si="37"/>
        <v>0</v>
      </c>
      <c r="AL107" s="24">
        <f t="shared" si="38"/>
        <v>0.5</v>
      </c>
      <c r="AM107" s="24">
        <f t="shared" si="39"/>
        <v>0</v>
      </c>
      <c r="AN107" s="24">
        <f t="shared" si="40"/>
        <v>4</v>
      </c>
      <c r="AO107" s="23">
        <f t="shared" si="42"/>
        <v>23.1</v>
      </c>
      <c r="AP107" s="24">
        <f t="shared" si="41"/>
        <v>20.2</v>
      </c>
    </row>
    <row r="108" spans="1:42" x14ac:dyDescent="0.25">
      <c r="A108" t="s">
        <v>4</v>
      </c>
      <c r="B108" t="s">
        <v>142</v>
      </c>
      <c r="C108" t="s">
        <v>9</v>
      </c>
      <c r="D108" s="5">
        <v>28795</v>
      </c>
      <c r="E108">
        <v>43.2</v>
      </c>
      <c r="F108">
        <v>0.05</v>
      </c>
      <c r="G108">
        <v>8</v>
      </c>
      <c r="H108">
        <v>6</v>
      </c>
      <c r="I108">
        <v>930</v>
      </c>
      <c r="J108">
        <v>1</v>
      </c>
      <c r="K108" t="s">
        <v>294</v>
      </c>
      <c r="L108" s="5" cm="1">
        <f t="array" ref="L108">INDEX(DataValidation!$B$2:$B$11, _xlfn.XMATCH(K108, DataValidation!$A$2:$A$11))</f>
        <v>1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0</v>
      </c>
      <c r="V108">
        <v>2</v>
      </c>
      <c r="W108" s="23">
        <f t="shared" si="23"/>
        <v>2.8273333333333333</v>
      </c>
      <c r="X108" s="24">
        <f t="shared" si="24"/>
        <v>2.2719999999999998</v>
      </c>
      <c r="Y108" s="24">
        <f t="shared" si="25"/>
        <v>1</v>
      </c>
      <c r="Z108" s="24">
        <f t="shared" si="26"/>
        <v>1.6</v>
      </c>
      <c r="AA108" s="24">
        <f t="shared" si="27"/>
        <v>3</v>
      </c>
      <c r="AB108" s="24">
        <f t="shared" si="28"/>
        <v>3.1</v>
      </c>
      <c r="AC108" s="24">
        <f t="shared" si="29"/>
        <v>1</v>
      </c>
      <c r="AD108" s="24">
        <f t="shared" si="30"/>
        <v>1</v>
      </c>
      <c r="AE108" s="24">
        <f t="shared" si="31"/>
        <v>0</v>
      </c>
      <c r="AF108" s="24">
        <f t="shared" si="32"/>
        <v>1</v>
      </c>
      <c r="AG108" s="24">
        <f t="shared" si="33"/>
        <v>0</v>
      </c>
      <c r="AH108" s="24">
        <f t="shared" si="34"/>
        <v>0</v>
      </c>
      <c r="AI108" s="24">
        <f t="shared" si="35"/>
        <v>1</v>
      </c>
      <c r="AJ108" s="24">
        <f t="shared" si="36"/>
        <v>0</v>
      </c>
      <c r="AK108" s="24">
        <f t="shared" si="37"/>
        <v>0</v>
      </c>
      <c r="AL108" s="24">
        <f t="shared" si="38"/>
        <v>0.5</v>
      </c>
      <c r="AM108" s="24">
        <f t="shared" si="39"/>
        <v>0</v>
      </c>
      <c r="AN108" s="24">
        <f t="shared" si="40"/>
        <v>4</v>
      </c>
      <c r="AO108" s="23">
        <f t="shared" si="42"/>
        <v>22.3</v>
      </c>
      <c r="AP108" s="24">
        <f t="shared" si="41"/>
        <v>19.5</v>
      </c>
    </row>
    <row r="109" spans="1:42" x14ac:dyDescent="0.25">
      <c r="A109" t="s">
        <v>4</v>
      </c>
      <c r="B109" t="s">
        <v>143</v>
      </c>
      <c r="C109" t="s">
        <v>9</v>
      </c>
      <c r="D109" s="5">
        <v>29705</v>
      </c>
      <c r="E109">
        <v>46.3</v>
      </c>
      <c r="F109">
        <v>0.05</v>
      </c>
      <c r="G109">
        <v>11</v>
      </c>
      <c r="H109">
        <v>6</v>
      </c>
      <c r="I109">
        <v>1300</v>
      </c>
      <c r="J109">
        <v>1</v>
      </c>
      <c r="K109" t="s">
        <v>294</v>
      </c>
      <c r="L109" s="5" cm="1">
        <f t="array" ref="L109">INDEX(DataValidation!$B$2:$B$11, _xlfn.XMATCH(K109, DataValidation!$A$2:$A$11))</f>
        <v>1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2</v>
      </c>
      <c r="W109" s="23">
        <f t="shared" si="23"/>
        <v>2.706</v>
      </c>
      <c r="X109" s="24">
        <f t="shared" si="24"/>
        <v>2.1480000000000001</v>
      </c>
      <c r="Y109" s="24">
        <f t="shared" si="25"/>
        <v>1</v>
      </c>
      <c r="Z109" s="24">
        <f t="shared" si="26"/>
        <v>2.2000000000000002</v>
      </c>
      <c r="AA109" s="24">
        <f t="shared" si="27"/>
        <v>3</v>
      </c>
      <c r="AB109" s="24">
        <f t="shared" si="28"/>
        <v>4.3333333333333339</v>
      </c>
      <c r="AC109" s="24">
        <f t="shared" si="29"/>
        <v>1</v>
      </c>
      <c r="AD109" s="24">
        <f t="shared" si="30"/>
        <v>1</v>
      </c>
      <c r="AE109" s="24">
        <f t="shared" si="31"/>
        <v>0</v>
      </c>
      <c r="AF109" s="24">
        <f t="shared" si="32"/>
        <v>1</v>
      </c>
      <c r="AG109" s="24">
        <f t="shared" si="33"/>
        <v>0</v>
      </c>
      <c r="AH109" s="24">
        <f t="shared" si="34"/>
        <v>0</v>
      </c>
      <c r="AI109" s="24">
        <f t="shared" si="35"/>
        <v>1</v>
      </c>
      <c r="AJ109" s="24">
        <f t="shared" si="36"/>
        <v>0</v>
      </c>
      <c r="AK109" s="24">
        <f t="shared" si="37"/>
        <v>0</v>
      </c>
      <c r="AL109" s="24">
        <f t="shared" si="38"/>
        <v>0.5</v>
      </c>
      <c r="AM109" s="24">
        <f t="shared" si="39"/>
        <v>0</v>
      </c>
      <c r="AN109" s="24">
        <f t="shared" si="40"/>
        <v>4</v>
      </c>
      <c r="AO109" s="23">
        <f t="shared" si="42"/>
        <v>23.9</v>
      </c>
      <c r="AP109" s="24">
        <f t="shared" si="41"/>
        <v>21.2</v>
      </c>
    </row>
    <row r="110" spans="1:42" x14ac:dyDescent="0.25">
      <c r="A110" t="s">
        <v>4</v>
      </c>
      <c r="B110" t="s">
        <v>144</v>
      </c>
      <c r="C110" t="s">
        <v>9</v>
      </c>
      <c r="D110" s="5">
        <v>30915</v>
      </c>
      <c r="E110">
        <v>43.2</v>
      </c>
      <c r="F110">
        <v>0.05</v>
      </c>
      <c r="G110">
        <v>15</v>
      </c>
      <c r="H110">
        <v>6</v>
      </c>
      <c r="I110">
        <v>930</v>
      </c>
      <c r="J110">
        <v>1</v>
      </c>
      <c r="K110" t="s">
        <v>294</v>
      </c>
      <c r="L110" s="5" cm="1">
        <f t="array" ref="L110">INDEX(DataValidation!$B$2:$B$11, _xlfn.XMATCH(K110, DataValidation!$A$2:$A$11))</f>
        <v>1</v>
      </c>
      <c r="M110">
        <v>0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2</v>
      </c>
      <c r="W110" s="23">
        <f t="shared" si="23"/>
        <v>2.5446666666666666</v>
      </c>
      <c r="X110" s="24">
        <f t="shared" si="24"/>
        <v>2.2719999999999998</v>
      </c>
      <c r="Y110" s="24">
        <f t="shared" si="25"/>
        <v>1</v>
      </c>
      <c r="Z110" s="24">
        <f t="shared" si="26"/>
        <v>3</v>
      </c>
      <c r="AA110" s="24">
        <f t="shared" si="27"/>
        <v>3</v>
      </c>
      <c r="AB110" s="24">
        <f t="shared" si="28"/>
        <v>3.1</v>
      </c>
      <c r="AC110" s="24">
        <f t="shared" si="29"/>
        <v>1</v>
      </c>
      <c r="AD110" s="24">
        <f t="shared" si="30"/>
        <v>1</v>
      </c>
      <c r="AE110" s="24">
        <f t="shared" si="31"/>
        <v>0</v>
      </c>
      <c r="AF110" s="24">
        <f t="shared" si="32"/>
        <v>1</v>
      </c>
      <c r="AG110" s="24">
        <f t="shared" si="33"/>
        <v>0</v>
      </c>
      <c r="AH110" s="24">
        <f t="shared" si="34"/>
        <v>0</v>
      </c>
      <c r="AI110" s="24">
        <f t="shared" si="35"/>
        <v>1</v>
      </c>
      <c r="AJ110" s="24">
        <f t="shared" si="36"/>
        <v>0</v>
      </c>
      <c r="AK110" s="24">
        <f t="shared" si="37"/>
        <v>0</v>
      </c>
      <c r="AL110" s="24">
        <f t="shared" si="38"/>
        <v>0.5</v>
      </c>
      <c r="AM110" s="24">
        <f t="shared" si="39"/>
        <v>0</v>
      </c>
      <c r="AN110" s="24">
        <f t="shared" si="40"/>
        <v>4</v>
      </c>
      <c r="AO110" s="23">
        <f t="shared" si="42"/>
        <v>23.4</v>
      </c>
      <c r="AP110" s="24">
        <f t="shared" si="41"/>
        <v>20.9</v>
      </c>
    </row>
    <row r="111" spans="1:42" x14ac:dyDescent="0.25">
      <c r="A111" t="s">
        <v>4</v>
      </c>
      <c r="B111" t="s">
        <v>146</v>
      </c>
      <c r="C111" t="s">
        <v>9</v>
      </c>
      <c r="E111">
        <v>22.3</v>
      </c>
      <c r="F111">
        <v>0.1</v>
      </c>
      <c r="G111">
        <v>7</v>
      </c>
      <c r="H111">
        <v>7</v>
      </c>
      <c r="I111">
        <v>800</v>
      </c>
      <c r="J111">
        <v>1</v>
      </c>
      <c r="K111" t="s">
        <v>294</v>
      </c>
      <c r="L111" s="5" cm="1">
        <f t="array" ref="L111">INDEX(DataValidation!$B$2:$B$11, _xlfn.XMATCH(K111, DataValidation!$A$2:$A$11))</f>
        <v>1</v>
      </c>
      <c r="M111">
        <v>0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1</v>
      </c>
      <c r="U111">
        <v>0</v>
      </c>
      <c r="V111">
        <v>2</v>
      </c>
      <c r="W111" s="23">
        <f t="shared" si="23"/>
        <v>0</v>
      </c>
      <c r="X111" s="24">
        <f t="shared" si="24"/>
        <v>3.1080000000000001</v>
      </c>
      <c r="Y111" s="24">
        <f t="shared" si="25"/>
        <v>0</v>
      </c>
      <c r="Z111" s="24">
        <f t="shared" si="26"/>
        <v>1.4000000000000001</v>
      </c>
      <c r="AA111" s="24">
        <f t="shared" si="27"/>
        <v>3.5</v>
      </c>
      <c r="AB111" s="24">
        <f t="shared" si="28"/>
        <v>2.666666666666667</v>
      </c>
      <c r="AC111" s="24">
        <f t="shared" si="29"/>
        <v>1</v>
      </c>
      <c r="AD111" s="24">
        <f t="shared" si="30"/>
        <v>1</v>
      </c>
      <c r="AE111" s="24">
        <f t="shared" si="31"/>
        <v>0</v>
      </c>
      <c r="AF111" s="24">
        <f t="shared" si="32"/>
        <v>1</v>
      </c>
      <c r="AG111" s="24">
        <f t="shared" si="33"/>
        <v>0</v>
      </c>
      <c r="AH111" s="24">
        <f t="shared" si="34"/>
        <v>1</v>
      </c>
      <c r="AI111" s="24">
        <f t="shared" si="35"/>
        <v>1</v>
      </c>
      <c r="AJ111" s="24">
        <f t="shared" si="36"/>
        <v>1</v>
      </c>
      <c r="AK111" s="24">
        <f t="shared" si="37"/>
        <v>0</v>
      </c>
      <c r="AL111" s="24">
        <f t="shared" si="38"/>
        <v>0.5</v>
      </c>
      <c r="AM111" s="24">
        <f t="shared" si="39"/>
        <v>0</v>
      </c>
      <c r="AN111" s="24">
        <f t="shared" si="40"/>
        <v>4</v>
      </c>
      <c r="AO111" s="23">
        <f t="shared" si="42"/>
        <v>21.2</v>
      </c>
      <c r="AP111" s="24">
        <f t="shared" si="41"/>
        <v>21.2</v>
      </c>
    </row>
    <row r="112" spans="1:42" x14ac:dyDescent="0.25">
      <c r="A112" t="s">
        <v>4</v>
      </c>
      <c r="B112" t="s">
        <v>147</v>
      </c>
      <c r="C112" t="s">
        <v>9</v>
      </c>
      <c r="E112">
        <v>29.5</v>
      </c>
      <c r="F112">
        <v>0.15</v>
      </c>
      <c r="G112">
        <v>14</v>
      </c>
      <c r="H112">
        <v>7</v>
      </c>
      <c r="I112">
        <v>820</v>
      </c>
      <c r="J112">
        <v>1</v>
      </c>
      <c r="K112" t="s">
        <v>294</v>
      </c>
      <c r="L112" s="5" cm="1">
        <f t="array" ref="L112">INDEX(DataValidation!$B$2:$B$11, _xlfn.XMATCH(K112, DataValidation!$A$2:$A$11))</f>
        <v>1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0</v>
      </c>
      <c r="V112">
        <v>2</v>
      </c>
      <c r="W112" s="23">
        <f t="shared" si="23"/>
        <v>0</v>
      </c>
      <c r="X112" s="24">
        <f t="shared" si="24"/>
        <v>2.82</v>
      </c>
      <c r="Y112" s="24">
        <f t="shared" si="25"/>
        <v>-0.99999999999999978</v>
      </c>
      <c r="Z112" s="24">
        <f t="shared" si="26"/>
        <v>2.8000000000000003</v>
      </c>
      <c r="AA112" s="24">
        <f t="shared" si="27"/>
        <v>3.5</v>
      </c>
      <c r="AB112" s="24">
        <f t="shared" si="28"/>
        <v>2.7333333333333334</v>
      </c>
      <c r="AC112" s="24">
        <f t="shared" si="29"/>
        <v>1</v>
      </c>
      <c r="AD112" s="24">
        <f t="shared" si="30"/>
        <v>1</v>
      </c>
      <c r="AE112" s="24">
        <f t="shared" si="31"/>
        <v>0</v>
      </c>
      <c r="AF112" s="24">
        <f t="shared" si="32"/>
        <v>1</v>
      </c>
      <c r="AG112" s="24">
        <f t="shared" si="33"/>
        <v>0</v>
      </c>
      <c r="AH112" s="24">
        <f t="shared" si="34"/>
        <v>1</v>
      </c>
      <c r="AI112" s="24">
        <f t="shared" si="35"/>
        <v>1</v>
      </c>
      <c r="AJ112" s="24">
        <f t="shared" si="36"/>
        <v>1</v>
      </c>
      <c r="AK112" s="24">
        <f t="shared" si="37"/>
        <v>0</v>
      </c>
      <c r="AL112" s="24">
        <f t="shared" si="38"/>
        <v>0.5</v>
      </c>
      <c r="AM112" s="24">
        <f t="shared" si="39"/>
        <v>0</v>
      </c>
      <c r="AN112" s="24">
        <f t="shared" si="40"/>
        <v>4</v>
      </c>
      <c r="AO112" s="23">
        <f t="shared" si="42"/>
        <v>21.4</v>
      </c>
      <c r="AP112" s="24">
        <f t="shared" si="41"/>
        <v>21.4</v>
      </c>
    </row>
    <row r="113" spans="1:42" x14ac:dyDescent="0.25">
      <c r="A113" t="s">
        <v>342</v>
      </c>
      <c r="B113" t="s">
        <v>343</v>
      </c>
      <c r="C113" t="s">
        <v>27</v>
      </c>
      <c r="D113" s="5">
        <v>9970</v>
      </c>
      <c r="E113">
        <v>9.5</v>
      </c>
      <c r="F113">
        <v>0.5</v>
      </c>
      <c r="G113">
        <v>3</v>
      </c>
      <c r="H113">
        <v>6</v>
      </c>
      <c r="I113">
        <v>833</v>
      </c>
      <c r="J113">
        <v>1</v>
      </c>
      <c r="K113" t="s">
        <v>304</v>
      </c>
      <c r="L113" s="5" cm="1">
        <f t="array" ref="L113">INDEX(DataValidation!$B$2:$B$11, _xlfn.XMATCH(K113, DataValidation!$A$2:$A$11))</f>
        <v>3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2</v>
      </c>
      <c r="W113" s="23">
        <f t="shared" si="23"/>
        <v>5.3373333333333335</v>
      </c>
      <c r="X113" s="24">
        <f t="shared" si="24"/>
        <v>3.62</v>
      </c>
      <c r="Y113" s="24">
        <f t="shared" si="25"/>
        <v>-8</v>
      </c>
      <c r="Z113" s="24">
        <f t="shared" si="26"/>
        <v>0.60000000000000009</v>
      </c>
      <c r="AA113" s="24">
        <f t="shared" si="27"/>
        <v>3</v>
      </c>
      <c r="AB113" s="24">
        <f t="shared" si="28"/>
        <v>2.7766666666666668</v>
      </c>
      <c r="AC113" s="24">
        <f t="shared" si="29"/>
        <v>1</v>
      </c>
      <c r="AD113" s="24">
        <f t="shared" si="30"/>
        <v>3</v>
      </c>
      <c r="AE113" s="24">
        <f t="shared" si="31"/>
        <v>0</v>
      </c>
      <c r="AF113" s="24">
        <f t="shared" si="32"/>
        <v>1</v>
      </c>
      <c r="AG113" s="24">
        <f t="shared" si="33"/>
        <v>0</v>
      </c>
      <c r="AH113" s="24">
        <f t="shared" si="34"/>
        <v>0</v>
      </c>
      <c r="AI113" s="24">
        <f t="shared" si="35"/>
        <v>1</v>
      </c>
      <c r="AJ113" s="24">
        <f t="shared" si="36"/>
        <v>0</v>
      </c>
      <c r="AK113" s="24">
        <f t="shared" si="37"/>
        <v>0.5</v>
      </c>
      <c r="AL113" s="24">
        <f t="shared" si="38"/>
        <v>0.5</v>
      </c>
      <c r="AM113" s="24">
        <f t="shared" si="39"/>
        <v>0</v>
      </c>
      <c r="AN113" s="24">
        <f t="shared" si="40"/>
        <v>4</v>
      </c>
      <c r="AO113" s="23">
        <f t="shared" si="42"/>
        <v>18.3</v>
      </c>
      <c r="AP113" s="24">
        <f t="shared" si="41"/>
        <v>13</v>
      </c>
    </row>
    <row r="114" spans="1:42" x14ac:dyDescent="0.25">
      <c r="A114" t="s">
        <v>358</v>
      </c>
      <c r="B114" t="s">
        <v>359</v>
      </c>
      <c r="C114" t="s">
        <v>54</v>
      </c>
      <c r="D114" s="5">
        <v>31000</v>
      </c>
      <c r="E114">
        <v>32</v>
      </c>
      <c r="F114">
        <v>0.03</v>
      </c>
      <c r="G114">
        <v>5</v>
      </c>
      <c r="H114">
        <v>6</v>
      </c>
      <c r="I114">
        <v>910</v>
      </c>
      <c r="J114">
        <v>1</v>
      </c>
      <c r="K114" t="s">
        <v>258</v>
      </c>
      <c r="L114" s="5" cm="1">
        <f t="array" ref="L114">INDEX(DataValidation!$B$2:$B$11, _xlfn.XMATCH(K114, DataValidation!$A$2:$A$11))</f>
        <v>2</v>
      </c>
      <c r="M114">
        <v>0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2</v>
      </c>
      <c r="W114" s="23">
        <f t="shared" si="23"/>
        <v>2.5333333333333337</v>
      </c>
      <c r="X114" s="24">
        <f t="shared" si="24"/>
        <v>2.72</v>
      </c>
      <c r="Y114" s="24">
        <f t="shared" si="25"/>
        <v>1.4000000000000001</v>
      </c>
      <c r="Z114" s="24">
        <f t="shared" si="26"/>
        <v>1</v>
      </c>
      <c r="AA114" s="24">
        <f t="shared" si="27"/>
        <v>3</v>
      </c>
      <c r="AB114" s="24">
        <f t="shared" si="28"/>
        <v>3.0333333333333337</v>
      </c>
      <c r="AC114" s="24">
        <f t="shared" si="29"/>
        <v>1</v>
      </c>
      <c r="AD114" s="24">
        <f t="shared" si="30"/>
        <v>2</v>
      </c>
      <c r="AE114" s="24">
        <f t="shared" si="31"/>
        <v>0</v>
      </c>
      <c r="AF114" s="24">
        <f t="shared" si="32"/>
        <v>1</v>
      </c>
      <c r="AG114" s="24">
        <f t="shared" si="33"/>
        <v>0</v>
      </c>
      <c r="AH114" s="24">
        <f t="shared" si="34"/>
        <v>1</v>
      </c>
      <c r="AI114" s="24">
        <f t="shared" si="35"/>
        <v>1</v>
      </c>
      <c r="AJ114" s="24">
        <f t="shared" si="36"/>
        <v>1</v>
      </c>
      <c r="AK114" s="24">
        <f t="shared" si="37"/>
        <v>0.5</v>
      </c>
      <c r="AL114" s="24">
        <f t="shared" si="38"/>
        <v>0.5</v>
      </c>
      <c r="AM114" s="24">
        <f t="shared" si="39"/>
        <v>0</v>
      </c>
      <c r="AN114" s="24">
        <f t="shared" si="40"/>
        <v>4</v>
      </c>
      <c r="AO114" s="23">
        <f t="shared" si="42"/>
        <v>25.7</v>
      </c>
      <c r="AP114" s="24">
        <f t="shared" si="41"/>
        <v>23.2</v>
      </c>
    </row>
    <row r="115" spans="1:42" x14ac:dyDescent="0.25">
      <c r="A115" t="s">
        <v>57</v>
      </c>
      <c r="B115" t="s">
        <v>58</v>
      </c>
      <c r="C115" t="s">
        <v>54</v>
      </c>
      <c r="E115">
        <v>61</v>
      </c>
      <c r="F115">
        <v>0.1</v>
      </c>
      <c r="G115">
        <v>10</v>
      </c>
      <c r="H115">
        <v>6</v>
      </c>
      <c r="I115">
        <v>1300</v>
      </c>
      <c r="J115">
        <v>1</v>
      </c>
      <c r="K115" t="s">
        <v>294</v>
      </c>
      <c r="L115" s="5" cm="1">
        <f t="array" ref="L115">INDEX(DataValidation!$B$2:$B$11, _xlfn.XMATCH(K115, DataValidation!$A$2:$A$11))</f>
        <v>1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2</v>
      </c>
      <c r="W115" s="23">
        <f t="shared" si="23"/>
        <v>0</v>
      </c>
      <c r="X115" s="24">
        <f t="shared" si="24"/>
        <v>1.56</v>
      </c>
      <c r="Y115" s="24">
        <f t="shared" si="25"/>
        <v>0</v>
      </c>
      <c r="Z115" s="24">
        <f t="shared" si="26"/>
        <v>2</v>
      </c>
      <c r="AA115" s="24">
        <f t="shared" si="27"/>
        <v>3</v>
      </c>
      <c r="AB115" s="24">
        <f t="shared" si="28"/>
        <v>4.3333333333333339</v>
      </c>
      <c r="AC115" s="24">
        <f t="shared" si="29"/>
        <v>1</v>
      </c>
      <c r="AD115" s="24">
        <f t="shared" si="30"/>
        <v>1</v>
      </c>
      <c r="AE115" s="24">
        <f t="shared" si="31"/>
        <v>0</v>
      </c>
      <c r="AF115" s="24">
        <f t="shared" si="32"/>
        <v>1</v>
      </c>
      <c r="AG115" s="24">
        <f t="shared" si="33"/>
        <v>0</v>
      </c>
      <c r="AH115" s="24">
        <f t="shared" si="34"/>
        <v>1</v>
      </c>
      <c r="AI115" s="24">
        <f t="shared" si="35"/>
        <v>1</v>
      </c>
      <c r="AJ115" s="24">
        <f t="shared" si="36"/>
        <v>0</v>
      </c>
      <c r="AK115" s="24">
        <f t="shared" si="37"/>
        <v>0</v>
      </c>
      <c r="AL115" s="24">
        <f t="shared" si="38"/>
        <v>0</v>
      </c>
      <c r="AM115" s="24">
        <f t="shared" si="39"/>
        <v>0</v>
      </c>
      <c r="AN115" s="24">
        <f t="shared" si="40"/>
        <v>4</v>
      </c>
      <c r="AO115" s="23">
        <f t="shared" si="42"/>
        <v>19.899999999999999</v>
      </c>
      <c r="AP115" s="24">
        <f t="shared" si="41"/>
        <v>19.899999999999999</v>
      </c>
    </row>
    <row r="116" spans="1:42" x14ac:dyDescent="0.25">
      <c r="A116" t="s">
        <v>57</v>
      </c>
      <c r="B116" t="s">
        <v>61</v>
      </c>
      <c r="C116" t="s">
        <v>54</v>
      </c>
      <c r="D116" s="5">
        <v>36000</v>
      </c>
      <c r="E116">
        <v>53</v>
      </c>
      <c r="F116">
        <v>0.02</v>
      </c>
      <c r="G116">
        <v>5</v>
      </c>
      <c r="H116">
        <v>6</v>
      </c>
      <c r="I116">
        <v>927</v>
      </c>
      <c r="J116">
        <v>1</v>
      </c>
      <c r="K116" t="s">
        <v>294</v>
      </c>
      <c r="L116" s="5" cm="1">
        <f t="array" ref="L116">INDEX(DataValidation!$B$2:$B$11, _xlfn.XMATCH(K116, DataValidation!$A$2:$A$11))</f>
        <v>1</v>
      </c>
      <c r="M116">
        <v>0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2</v>
      </c>
      <c r="W116" s="23">
        <f t="shared" si="23"/>
        <v>1.8666666666666667</v>
      </c>
      <c r="X116" s="24">
        <f t="shared" si="24"/>
        <v>1.8800000000000001</v>
      </c>
      <c r="Y116" s="24">
        <f t="shared" si="25"/>
        <v>1.6</v>
      </c>
      <c r="Z116" s="24">
        <f t="shared" si="26"/>
        <v>1</v>
      </c>
      <c r="AA116" s="24">
        <f t="shared" si="27"/>
        <v>3</v>
      </c>
      <c r="AB116" s="24">
        <f t="shared" si="28"/>
        <v>3.0900000000000003</v>
      </c>
      <c r="AC116" s="24">
        <f t="shared" si="29"/>
        <v>1</v>
      </c>
      <c r="AD116" s="24">
        <f t="shared" si="30"/>
        <v>1</v>
      </c>
      <c r="AE116" s="24">
        <f t="shared" si="31"/>
        <v>0</v>
      </c>
      <c r="AF116" s="24">
        <f t="shared" si="32"/>
        <v>1</v>
      </c>
      <c r="AG116" s="24">
        <f t="shared" si="33"/>
        <v>0</v>
      </c>
      <c r="AH116" s="24">
        <f t="shared" si="34"/>
        <v>1</v>
      </c>
      <c r="AI116" s="24">
        <f t="shared" si="35"/>
        <v>1</v>
      </c>
      <c r="AJ116" s="24">
        <f t="shared" si="36"/>
        <v>0</v>
      </c>
      <c r="AK116" s="24">
        <f t="shared" si="37"/>
        <v>0</v>
      </c>
      <c r="AL116" s="24">
        <f t="shared" si="38"/>
        <v>0</v>
      </c>
      <c r="AM116" s="24">
        <f t="shared" si="39"/>
        <v>0</v>
      </c>
      <c r="AN116" s="24">
        <f t="shared" si="40"/>
        <v>4</v>
      </c>
      <c r="AO116" s="23">
        <f t="shared" si="42"/>
        <v>21.4</v>
      </c>
      <c r="AP116" s="24">
        <f t="shared" si="41"/>
        <v>19.600000000000001</v>
      </c>
    </row>
    <row r="117" spans="1:42" x14ac:dyDescent="0.25">
      <c r="A117" t="s">
        <v>57</v>
      </c>
      <c r="B117" t="s">
        <v>63</v>
      </c>
      <c r="C117" t="s">
        <v>54</v>
      </c>
      <c r="E117">
        <v>66</v>
      </c>
      <c r="F117">
        <v>2.5000000000000001E-2</v>
      </c>
      <c r="G117">
        <v>12</v>
      </c>
      <c r="H117">
        <v>6</v>
      </c>
      <c r="I117">
        <v>1000</v>
      </c>
      <c r="J117">
        <v>1</v>
      </c>
      <c r="K117" t="s">
        <v>294</v>
      </c>
      <c r="L117" s="5" cm="1">
        <f t="array" ref="L117">INDEX(DataValidation!$B$2:$B$11, _xlfn.XMATCH(K117, DataValidation!$A$2:$A$11))</f>
        <v>1</v>
      </c>
      <c r="M117">
        <v>0</v>
      </c>
      <c r="N117">
        <v>1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2</v>
      </c>
      <c r="W117" s="23">
        <f t="shared" si="23"/>
        <v>0</v>
      </c>
      <c r="X117" s="24">
        <f t="shared" si="24"/>
        <v>1.36</v>
      </c>
      <c r="Y117" s="24">
        <f t="shared" si="25"/>
        <v>1.5000000000000002</v>
      </c>
      <c r="Z117" s="24">
        <f t="shared" si="26"/>
        <v>2.4000000000000004</v>
      </c>
      <c r="AA117" s="24">
        <f t="shared" si="27"/>
        <v>3</v>
      </c>
      <c r="AB117" s="24">
        <f t="shared" si="28"/>
        <v>3.3333333333333335</v>
      </c>
      <c r="AC117" s="24">
        <f t="shared" si="29"/>
        <v>1</v>
      </c>
      <c r="AD117" s="24">
        <f t="shared" si="30"/>
        <v>1</v>
      </c>
      <c r="AE117" s="24">
        <f t="shared" si="31"/>
        <v>0</v>
      </c>
      <c r="AF117" s="24">
        <f t="shared" si="32"/>
        <v>1</v>
      </c>
      <c r="AG117" s="24">
        <f t="shared" si="33"/>
        <v>0</v>
      </c>
      <c r="AH117" s="24">
        <f t="shared" si="34"/>
        <v>1</v>
      </c>
      <c r="AI117" s="24">
        <f t="shared" si="35"/>
        <v>1</v>
      </c>
      <c r="AJ117" s="24">
        <f t="shared" si="36"/>
        <v>0</v>
      </c>
      <c r="AK117" s="24">
        <f t="shared" si="37"/>
        <v>0</v>
      </c>
      <c r="AL117" s="24">
        <f t="shared" si="38"/>
        <v>0</v>
      </c>
      <c r="AM117" s="24">
        <f t="shared" si="39"/>
        <v>0</v>
      </c>
      <c r="AN117" s="24">
        <f t="shared" si="40"/>
        <v>4</v>
      </c>
      <c r="AO117" s="23">
        <f t="shared" si="42"/>
        <v>20.6</v>
      </c>
      <c r="AP117" s="24">
        <f t="shared" si="41"/>
        <v>20.6</v>
      </c>
    </row>
    <row r="118" spans="1:42" x14ac:dyDescent="0.25">
      <c r="A118" t="s">
        <v>64</v>
      </c>
      <c r="B118" t="s">
        <v>150</v>
      </c>
      <c r="C118" t="s">
        <v>9</v>
      </c>
      <c r="D118" s="5">
        <v>37500</v>
      </c>
      <c r="E118">
        <v>51</v>
      </c>
      <c r="F118">
        <v>0.01</v>
      </c>
      <c r="G118">
        <v>15</v>
      </c>
      <c r="H118">
        <v>7</v>
      </c>
      <c r="I118">
        <v>1100</v>
      </c>
      <c r="J118">
        <v>1</v>
      </c>
      <c r="K118" t="s">
        <v>294</v>
      </c>
      <c r="L118" s="5" cm="1">
        <f t="array" ref="L118">INDEX(DataValidation!$B$2:$B$11, _xlfn.XMATCH(K118, DataValidation!$A$2:$A$11))</f>
        <v>1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0.5</v>
      </c>
      <c r="V118">
        <v>2</v>
      </c>
      <c r="W118" s="23">
        <f t="shared" si="23"/>
        <v>1.6666666666666667</v>
      </c>
      <c r="X118" s="24">
        <f t="shared" si="24"/>
        <v>1.96</v>
      </c>
      <c r="Y118" s="24">
        <f t="shared" si="25"/>
        <v>1.8000000000000003</v>
      </c>
      <c r="Z118" s="24">
        <f t="shared" si="26"/>
        <v>3</v>
      </c>
      <c r="AA118" s="24">
        <f t="shared" si="27"/>
        <v>3.5</v>
      </c>
      <c r="AB118" s="24">
        <f t="shared" si="28"/>
        <v>3.666666666666667</v>
      </c>
      <c r="AC118" s="24">
        <f t="shared" si="29"/>
        <v>1</v>
      </c>
      <c r="AD118" s="24">
        <f t="shared" si="30"/>
        <v>1</v>
      </c>
      <c r="AE118" s="24">
        <f t="shared" si="31"/>
        <v>1</v>
      </c>
      <c r="AF118" s="24">
        <f t="shared" si="32"/>
        <v>1</v>
      </c>
      <c r="AG118" s="24">
        <f t="shared" si="33"/>
        <v>0</v>
      </c>
      <c r="AH118" s="24">
        <f t="shared" si="34"/>
        <v>1</v>
      </c>
      <c r="AI118" s="24">
        <f t="shared" si="35"/>
        <v>1</v>
      </c>
      <c r="AJ118" s="24">
        <f t="shared" si="36"/>
        <v>0</v>
      </c>
      <c r="AK118" s="24">
        <f t="shared" si="37"/>
        <v>0</v>
      </c>
      <c r="AL118" s="24">
        <f t="shared" si="38"/>
        <v>0</v>
      </c>
      <c r="AM118" s="24">
        <f t="shared" si="39"/>
        <v>1</v>
      </c>
      <c r="AN118" s="24">
        <f t="shared" si="40"/>
        <v>4</v>
      </c>
      <c r="AO118" s="23">
        <f t="shared" si="42"/>
        <v>26.6</v>
      </c>
      <c r="AP118" s="24">
        <f t="shared" si="41"/>
        <v>24.9</v>
      </c>
    </row>
    <row r="119" spans="1:42" x14ac:dyDescent="0.25">
      <c r="A119" t="s">
        <v>64</v>
      </c>
      <c r="B119" t="s">
        <v>151</v>
      </c>
      <c r="C119" t="s">
        <v>9</v>
      </c>
      <c r="D119" s="5">
        <v>39500</v>
      </c>
      <c r="E119">
        <v>53</v>
      </c>
      <c r="F119">
        <v>0.01</v>
      </c>
      <c r="G119">
        <v>12</v>
      </c>
      <c r="H119">
        <v>7</v>
      </c>
      <c r="I119">
        <v>1400</v>
      </c>
      <c r="J119">
        <v>1</v>
      </c>
      <c r="K119" t="s">
        <v>294</v>
      </c>
      <c r="L119" s="5" cm="1">
        <f t="array" ref="L119">INDEX(DataValidation!$B$2:$B$11, _xlfn.XMATCH(K119, DataValidation!$A$2:$A$11))</f>
        <v>1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0.5</v>
      </c>
      <c r="V119">
        <v>2</v>
      </c>
      <c r="W119" s="23">
        <f t="shared" si="23"/>
        <v>1.4000000000000001</v>
      </c>
      <c r="X119" s="24">
        <f t="shared" si="24"/>
        <v>1.8800000000000001</v>
      </c>
      <c r="Y119" s="24">
        <f t="shared" si="25"/>
        <v>1.8000000000000003</v>
      </c>
      <c r="Z119" s="24">
        <f t="shared" si="26"/>
        <v>2.4000000000000004</v>
      </c>
      <c r="AA119" s="24">
        <f t="shared" si="27"/>
        <v>3.5</v>
      </c>
      <c r="AB119" s="24">
        <f t="shared" si="28"/>
        <v>4.666666666666667</v>
      </c>
      <c r="AC119" s="24">
        <f t="shared" si="29"/>
        <v>1</v>
      </c>
      <c r="AD119" s="24">
        <f t="shared" si="30"/>
        <v>1</v>
      </c>
      <c r="AE119" s="24">
        <f t="shared" si="31"/>
        <v>1</v>
      </c>
      <c r="AF119" s="24">
        <f t="shared" si="32"/>
        <v>1</v>
      </c>
      <c r="AG119" s="24">
        <f t="shared" si="33"/>
        <v>0</v>
      </c>
      <c r="AH119" s="24">
        <f t="shared" si="34"/>
        <v>1</v>
      </c>
      <c r="AI119" s="24">
        <f t="shared" si="35"/>
        <v>1</v>
      </c>
      <c r="AJ119" s="24">
        <f t="shared" si="36"/>
        <v>0</v>
      </c>
      <c r="AK119" s="24">
        <f t="shared" si="37"/>
        <v>0</v>
      </c>
      <c r="AL119" s="24">
        <f t="shared" si="38"/>
        <v>0</v>
      </c>
      <c r="AM119" s="24">
        <f t="shared" si="39"/>
        <v>1</v>
      </c>
      <c r="AN119" s="24">
        <f t="shared" si="40"/>
        <v>4</v>
      </c>
      <c r="AO119" s="23">
        <f t="shared" si="42"/>
        <v>26.6</v>
      </c>
      <c r="AP119" s="24">
        <f t="shared" si="41"/>
        <v>25.2</v>
      </c>
    </row>
    <row r="120" spans="1:42" x14ac:dyDescent="0.25">
      <c r="A120" t="s">
        <v>64</v>
      </c>
      <c r="B120" t="s">
        <v>152</v>
      </c>
      <c r="C120" t="s">
        <v>9</v>
      </c>
      <c r="D120" s="5">
        <v>41500</v>
      </c>
      <c r="E120">
        <v>56</v>
      </c>
      <c r="F120">
        <v>0.01</v>
      </c>
      <c r="G120">
        <v>9</v>
      </c>
      <c r="H120">
        <v>7</v>
      </c>
      <c r="I120">
        <v>1600</v>
      </c>
      <c r="J120">
        <v>1</v>
      </c>
      <c r="K120" t="s">
        <v>294</v>
      </c>
      <c r="L120" s="5" cm="1">
        <f t="array" ref="L120">INDEX(DataValidation!$B$2:$B$11, _xlfn.XMATCH(K120, DataValidation!$A$2:$A$11))</f>
        <v>1</v>
      </c>
      <c r="M120">
        <v>1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0.5</v>
      </c>
      <c r="V120">
        <v>2</v>
      </c>
      <c r="W120" s="23">
        <f t="shared" si="23"/>
        <v>1.1333333333333333</v>
      </c>
      <c r="X120" s="24">
        <f t="shared" si="24"/>
        <v>1.76</v>
      </c>
      <c r="Y120" s="24">
        <f t="shared" si="25"/>
        <v>1.8000000000000003</v>
      </c>
      <c r="Z120" s="24">
        <f t="shared" si="26"/>
        <v>1.8</v>
      </c>
      <c r="AA120" s="24">
        <f t="shared" si="27"/>
        <v>3.5</v>
      </c>
      <c r="AB120" s="24">
        <f t="shared" si="28"/>
        <v>5.3333333333333339</v>
      </c>
      <c r="AC120" s="24">
        <f t="shared" si="29"/>
        <v>1</v>
      </c>
      <c r="AD120" s="24">
        <f t="shared" si="30"/>
        <v>1</v>
      </c>
      <c r="AE120" s="24">
        <f t="shared" si="31"/>
        <v>1</v>
      </c>
      <c r="AF120" s="24">
        <f t="shared" si="32"/>
        <v>1</v>
      </c>
      <c r="AG120" s="24">
        <f t="shared" si="33"/>
        <v>0</v>
      </c>
      <c r="AH120" s="24">
        <f t="shared" si="34"/>
        <v>1</v>
      </c>
      <c r="AI120" s="24">
        <f t="shared" si="35"/>
        <v>1</v>
      </c>
      <c r="AJ120" s="24">
        <f t="shared" si="36"/>
        <v>0</v>
      </c>
      <c r="AK120" s="24">
        <f t="shared" si="37"/>
        <v>0</v>
      </c>
      <c r="AL120" s="24">
        <f t="shared" si="38"/>
        <v>0</v>
      </c>
      <c r="AM120" s="24">
        <f t="shared" si="39"/>
        <v>1</v>
      </c>
      <c r="AN120" s="24">
        <f t="shared" si="40"/>
        <v>4</v>
      </c>
      <c r="AO120" s="23">
        <f t="shared" si="42"/>
        <v>26.3</v>
      </c>
      <c r="AP120" s="24">
        <f t="shared" si="41"/>
        <v>25.2</v>
      </c>
    </row>
    <row r="121" spans="1:42" x14ac:dyDescent="0.25">
      <c r="A121" t="s">
        <v>64</v>
      </c>
      <c r="B121" t="s">
        <v>153</v>
      </c>
      <c r="C121" t="s">
        <v>9</v>
      </c>
      <c r="D121" s="5">
        <v>16500</v>
      </c>
      <c r="E121">
        <v>18</v>
      </c>
      <c r="F121">
        <v>0.02</v>
      </c>
      <c r="G121">
        <v>3</v>
      </c>
      <c r="H121">
        <v>6</v>
      </c>
      <c r="I121">
        <v>590</v>
      </c>
      <c r="J121">
        <v>1</v>
      </c>
      <c r="K121" t="s">
        <v>304</v>
      </c>
      <c r="L121" s="5" cm="1">
        <f t="array" ref="L121">INDEX(DataValidation!$B$2:$B$11, _xlfn.XMATCH(K121, DataValidation!$A$2:$A$11))</f>
        <v>3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2</v>
      </c>
      <c r="W121" s="23">
        <f t="shared" si="23"/>
        <v>4.4666666666666668</v>
      </c>
      <c r="X121" s="24">
        <f t="shared" si="24"/>
        <v>3.2800000000000002</v>
      </c>
      <c r="Y121" s="24">
        <f t="shared" si="25"/>
        <v>1.6</v>
      </c>
      <c r="Z121" s="24">
        <f t="shared" si="26"/>
        <v>0.60000000000000009</v>
      </c>
      <c r="AA121" s="24">
        <f t="shared" si="27"/>
        <v>3</v>
      </c>
      <c r="AB121" s="24">
        <f t="shared" si="28"/>
        <v>1.9666666666666668</v>
      </c>
      <c r="AC121" s="24">
        <f t="shared" si="29"/>
        <v>1</v>
      </c>
      <c r="AD121" s="24">
        <f t="shared" si="30"/>
        <v>3</v>
      </c>
      <c r="AE121" s="24">
        <f t="shared" si="31"/>
        <v>1</v>
      </c>
      <c r="AF121" s="24">
        <f t="shared" si="32"/>
        <v>1</v>
      </c>
      <c r="AG121" s="24">
        <f t="shared" si="33"/>
        <v>0</v>
      </c>
      <c r="AH121" s="24">
        <f t="shared" si="34"/>
        <v>1</v>
      </c>
      <c r="AI121" s="24">
        <f t="shared" si="35"/>
        <v>1</v>
      </c>
      <c r="AJ121" s="24">
        <f t="shared" si="36"/>
        <v>0</v>
      </c>
      <c r="AK121" s="24">
        <f t="shared" si="37"/>
        <v>0</v>
      </c>
      <c r="AL121" s="24">
        <f t="shared" si="38"/>
        <v>0</v>
      </c>
      <c r="AM121" s="24">
        <f t="shared" si="39"/>
        <v>0</v>
      </c>
      <c r="AN121" s="24">
        <f t="shared" si="40"/>
        <v>4</v>
      </c>
      <c r="AO121" s="23">
        <f t="shared" si="42"/>
        <v>26.9</v>
      </c>
      <c r="AP121" s="24">
        <f t="shared" si="41"/>
        <v>22.4</v>
      </c>
    </row>
    <row r="122" spans="1:42" x14ac:dyDescent="0.25">
      <c r="A122" t="s">
        <v>64</v>
      </c>
      <c r="B122" t="s">
        <v>154</v>
      </c>
      <c r="C122" t="s">
        <v>9</v>
      </c>
      <c r="D122" s="5">
        <v>18900</v>
      </c>
      <c r="E122">
        <v>26</v>
      </c>
      <c r="F122">
        <v>0.02</v>
      </c>
      <c r="G122">
        <v>5</v>
      </c>
      <c r="H122">
        <v>6</v>
      </c>
      <c r="I122">
        <v>800</v>
      </c>
      <c r="J122">
        <v>1</v>
      </c>
      <c r="K122" t="s">
        <v>304</v>
      </c>
      <c r="L122" s="5" cm="1">
        <f t="array" ref="L122">INDEX(DataValidation!$B$2:$B$11, _xlfn.XMATCH(K122, DataValidation!$A$2:$A$11))</f>
        <v>3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2</v>
      </c>
      <c r="W122" s="23">
        <f t="shared" si="23"/>
        <v>4.1466666666666665</v>
      </c>
      <c r="X122" s="24">
        <f t="shared" si="24"/>
        <v>2.96</v>
      </c>
      <c r="Y122" s="24">
        <f t="shared" si="25"/>
        <v>1.6</v>
      </c>
      <c r="Z122" s="24">
        <f t="shared" si="26"/>
        <v>1</v>
      </c>
      <c r="AA122" s="24">
        <f t="shared" si="27"/>
        <v>3</v>
      </c>
      <c r="AB122" s="24">
        <f t="shared" si="28"/>
        <v>2.666666666666667</v>
      </c>
      <c r="AC122" s="24">
        <f t="shared" si="29"/>
        <v>1</v>
      </c>
      <c r="AD122" s="24">
        <f t="shared" si="30"/>
        <v>3</v>
      </c>
      <c r="AE122" s="24">
        <f t="shared" si="31"/>
        <v>1</v>
      </c>
      <c r="AF122" s="24">
        <f t="shared" si="32"/>
        <v>1</v>
      </c>
      <c r="AG122" s="24">
        <f t="shared" si="33"/>
        <v>0</v>
      </c>
      <c r="AH122" s="24">
        <f t="shared" si="34"/>
        <v>1</v>
      </c>
      <c r="AI122" s="24">
        <f t="shared" si="35"/>
        <v>1</v>
      </c>
      <c r="AJ122" s="24">
        <f t="shared" si="36"/>
        <v>0</v>
      </c>
      <c r="AK122" s="24">
        <f t="shared" si="37"/>
        <v>0</v>
      </c>
      <c r="AL122" s="24">
        <f t="shared" si="38"/>
        <v>0</v>
      </c>
      <c r="AM122" s="24">
        <f t="shared" si="39"/>
        <v>0</v>
      </c>
      <c r="AN122" s="24">
        <f t="shared" si="40"/>
        <v>4</v>
      </c>
      <c r="AO122" s="23">
        <f t="shared" si="42"/>
        <v>27.4</v>
      </c>
      <c r="AP122" s="24">
        <f t="shared" si="41"/>
        <v>23.2</v>
      </c>
    </row>
    <row r="123" spans="1:42" x14ac:dyDescent="0.25">
      <c r="A123" t="s">
        <v>64</v>
      </c>
      <c r="B123" t="s">
        <v>155</v>
      </c>
      <c r="C123" t="s">
        <v>9</v>
      </c>
      <c r="D123" s="5">
        <v>21900</v>
      </c>
      <c r="E123">
        <v>48</v>
      </c>
      <c r="F123">
        <v>0.02</v>
      </c>
      <c r="G123">
        <v>8</v>
      </c>
      <c r="H123">
        <v>6</v>
      </c>
      <c r="I123">
        <v>1300</v>
      </c>
      <c r="J123">
        <v>1</v>
      </c>
      <c r="K123" t="s">
        <v>304</v>
      </c>
      <c r="L123" s="5" cm="1">
        <f t="array" ref="L123">INDEX(DataValidation!$B$2:$B$11, _xlfn.XMATCH(K123, DataValidation!$A$2:$A$11))</f>
        <v>3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2</v>
      </c>
      <c r="W123" s="23">
        <f t="shared" si="23"/>
        <v>3.746666666666667</v>
      </c>
      <c r="X123" s="24">
        <f t="shared" si="24"/>
        <v>2.08</v>
      </c>
      <c r="Y123" s="24">
        <f t="shared" si="25"/>
        <v>1.6</v>
      </c>
      <c r="Z123" s="24">
        <f t="shared" si="26"/>
        <v>1.6</v>
      </c>
      <c r="AA123" s="24">
        <f t="shared" si="27"/>
        <v>3</v>
      </c>
      <c r="AB123" s="24">
        <f t="shared" si="28"/>
        <v>4.3333333333333339</v>
      </c>
      <c r="AC123" s="24">
        <f t="shared" si="29"/>
        <v>1</v>
      </c>
      <c r="AD123" s="24">
        <f t="shared" si="30"/>
        <v>3</v>
      </c>
      <c r="AE123" s="24">
        <f t="shared" si="31"/>
        <v>1</v>
      </c>
      <c r="AF123" s="24">
        <f t="shared" si="32"/>
        <v>1</v>
      </c>
      <c r="AG123" s="24">
        <f t="shared" si="33"/>
        <v>0</v>
      </c>
      <c r="AH123" s="24">
        <f t="shared" si="34"/>
        <v>1</v>
      </c>
      <c r="AI123" s="24">
        <f t="shared" si="35"/>
        <v>1</v>
      </c>
      <c r="AJ123" s="24">
        <f t="shared" si="36"/>
        <v>0</v>
      </c>
      <c r="AK123" s="24">
        <f t="shared" si="37"/>
        <v>0</v>
      </c>
      <c r="AL123" s="24">
        <f t="shared" si="38"/>
        <v>0</v>
      </c>
      <c r="AM123" s="24">
        <f t="shared" si="39"/>
        <v>0</v>
      </c>
      <c r="AN123" s="24">
        <f t="shared" si="40"/>
        <v>4</v>
      </c>
      <c r="AO123" s="23">
        <f t="shared" si="42"/>
        <v>28.4</v>
      </c>
      <c r="AP123" s="24">
        <f t="shared" si="41"/>
        <v>24.6</v>
      </c>
    </row>
    <row r="124" spans="1:42" x14ac:dyDescent="0.25">
      <c r="A124" t="s">
        <v>64</v>
      </c>
      <c r="B124" t="s">
        <v>156</v>
      </c>
      <c r="C124" t="s">
        <v>9</v>
      </c>
      <c r="D124" s="5">
        <v>22500</v>
      </c>
      <c r="E124">
        <v>45</v>
      </c>
      <c r="F124">
        <v>0.02</v>
      </c>
      <c r="G124">
        <v>10</v>
      </c>
      <c r="H124">
        <v>6</v>
      </c>
      <c r="I124">
        <v>1000</v>
      </c>
      <c r="J124">
        <v>1</v>
      </c>
      <c r="K124" t="s">
        <v>304</v>
      </c>
      <c r="L124" s="5" cm="1">
        <f t="array" ref="L124">INDEX(DataValidation!$B$2:$B$11, _xlfn.XMATCH(K124, DataValidation!$A$2:$A$11))</f>
        <v>3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2</v>
      </c>
      <c r="W124" s="23">
        <f t="shared" si="23"/>
        <v>3.666666666666667</v>
      </c>
      <c r="X124" s="24">
        <f t="shared" si="24"/>
        <v>2.2000000000000002</v>
      </c>
      <c r="Y124" s="24">
        <f t="shared" si="25"/>
        <v>1.6</v>
      </c>
      <c r="Z124" s="24">
        <f t="shared" si="26"/>
        <v>2</v>
      </c>
      <c r="AA124" s="24">
        <f t="shared" si="27"/>
        <v>3</v>
      </c>
      <c r="AB124" s="24">
        <f t="shared" si="28"/>
        <v>3.3333333333333335</v>
      </c>
      <c r="AC124" s="24">
        <f t="shared" si="29"/>
        <v>1</v>
      </c>
      <c r="AD124" s="24">
        <f t="shared" si="30"/>
        <v>3</v>
      </c>
      <c r="AE124" s="24">
        <f t="shared" si="31"/>
        <v>1</v>
      </c>
      <c r="AF124" s="24">
        <f t="shared" si="32"/>
        <v>1</v>
      </c>
      <c r="AG124" s="24">
        <f t="shared" si="33"/>
        <v>0</v>
      </c>
      <c r="AH124" s="24">
        <f t="shared" si="34"/>
        <v>1</v>
      </c>
      <c r="AI124" s="24">
        <f t="shared" si="35"/>
        <v>1</v>
      </c>
      <c r="AJ124" s="24">
        <f t="shared" si="36"/>
        <v>0</v>
      </c>
      <c r="AK124" s="24">
        <f t="shared" si="37"/>
        <v>0</v>
      </c>
      <c r="AL124" s="24">
        <f t="shared" si="38"/>
        <v>0</v>
      </c>
      <c r="AM124" s="24">
        <f t="shared" si="39"/>
        <v>0</v>
      </c>
      <c r="AN124" s="24">
        <f t="shared" si="40"/>
        <v>4</v>
      </c>
      <c r="AO124" s="23">
        <f t="shared" si="42"/>
        <v>27.8</v>
      </c>
      <c r="AP124" s="24">
        <f t="shared" si="41"/>
        <v>24.1</v>
      </c>
    </row>
    <row r="125" spans="1:42" x14ac:dyDescent="0.25">
      <c r="A125" t="s">
        <v>64</v>
      </c>
      <c r="B125" t="s">
        <v>68</v>
      </c>
      <c r="C125" t="s">
        <v>9</v>
      </c>
      <c r="J125">
        <v>1</v>
      </c>
      <c r="K125" t="s">
        <v>304</v>
      </c>
      <c r="L125" s="5" cm="1">
        <f t="array" ref="L125">INDEX(DataValidation!$B$2:$B$11, _xlfn.XMATCH(K125, DataValidation!$A$2:$A$11))</f>
        <v>3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1</v>
      </c>
      <c r="W125" s="23">
        <f t="shared" si="23"/>
        <v>0</v>
      </c>
      <c r="X125" s="24">
        <f t="shared" si="24"/>
        <v>0</v>
      </c>
      <c r="Y125" s="24">
        <f t="shared" si="25"/>
        <v>0</v>
      </c>
      <c r="Z125" s="24">
        <f t="shared" si="26"/>
        <v>0</v>
      </c>
      <c r="AA125" s="24">
        <f t="shared" si="27"/>
        <v>0</v>
      </c>
      <c r="AB125" s="24">
        <f t="shared" si="28"/>
        <v>0</v>
      </c>
      <c r="AC125" s="24">
        <f t="shared" si="29"/>
        <v>1</v>
      </c>
      <c r="AD125" s="24">
        <f t="shared" si="30"/>
        <v>3</v>
      </c>
      <c r="AE125" s="24">
        <f t="shared" si="31"/>
        <v>1</v>
      </c>
      <c r="AF125" s="24">
        <f t="shared" si="32"/>
        <v>1</v>
      </c>
      <c r="AG125" s="24">
        <f t="shared" si="33"/>
        <v>0</v>
      </c>
      <c r="AH125" s="24">
        <f t="shared" si="34"/>
        <v>0</v>
      </c>
      <c r="AI125" s="24">
        <f t="shared" si="35"/>
        <v>1</v>
      </c>
      <c r="AJ125" s="24">
        <f t="shared" si="36"/>
        <v>0</v>
      </c>
      <c r="AK125" s="24">
        <f t="shared" si="37"/>
        <v>0.5</v>
      </c>
      <c r="AL125" s="24">
        <f t="shared" si="38"/>
        <v>0.5</v>
      </c>
      <c r="AM125" s="24">
        <f t="shared" si="39"/>
        <v>2</v>
      </c>
      <c r="AN125" s="24">
        <f t="shared" si="40"/>
        <v>2</v>
      </c>
      <c r="AO125" s="23">
        <f t="shared" si="42"/>
        <v>12</v>
      </c>
      <c r="AP125" s="24">
        <f t="shared" si="41"/>
        <v>12</v>
      </c>
    </row>
    <row r="126" spans="1:42" x14ac:dyDescent="0.25">
      <c r="A126" t="s">
        <v>64</v>
      </c>
      <c r="B126" t="s">
        <v>70</v>
      </c>
      <c r="C126" t="s">
        <v>9</v>
      </c>
      <c r="E126">
        <v>80</v>
      </c>
      <c r="G126">
        <v>15</v>
      </c>
      <c r="J126">
        <v>2</v>
      </c>
      <c r="K126" t="s">
        <v>304</v>
      </c>
      <c r="L126" s="5" cm="1">
        <f t="array" ref="L126">INDEX(DataValidation!$B$2:$B$11, _xlfn.XMATCH(K126, DataValidation!$A$2:$A$11))</f>
        <v>3</v>
      </c>
      <c r="M126">
        <v>1</v>
      </c>
      <c r="N126">
        <v>1</v>
      </c>
      <c r="O126">
        <v>0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2</v>
      </c>
      <c r="V126">
        <v>0.5</v>
      </c>
      <c r="W126" s="23">
        <f t="shared" si="23"/>
        <v>0</v>
      </c>
      <c r="X126" s="24">
        <f t="shared" si="24"/>
        <v>0.8</v>
      </c>
      <c r="Y126" s="24">
        <f t="shared" si="25"/>
        <v>0</v>
      </c>
      <c r="Z126" s="24">
        <f t="shared" si="26"/>
        <v>3</v>
      </c>
      <c r="AA126" s="24">
        <f t="shared" si="27"/>
        <v>0</v>
      </c>
      <c r="AB126" s="24">
        <f t="shared" si="28"/>
        <v>0</v>
      </c>
      <c r="AC126" s="24">
        <f t="shared" si="29"/>
        <v>2</v>
      </c>
      <c r="AD126" s="24">
        <f t="shared" si="30"/>
        <v>3</v>
      </c>
      <c r="AE126" s="24">
        <f t="shared" si="31"/>
        <v>1</v>
      </c>
      <c r="AF126" s="24">
        <f t="shared" si="32"/>
        <v>1</v>
      </c>
      <c r="AG126" s="24">
        <f t="shared" si="33"/>
        <v>0</v>
      </c>
      <c r="AH126" s="24">
        <f t="shared" si="34"/>
        <v>1</v>
      </c>
      <c r="AI126" s="24">
        <f t="shared" si="35"/>
        <v>1</v>
      </c>
      <c r="AJ126" s="24">
        <f t="shared" si="36"/>
        <v>0</v>
      </c>
      <c r="AK126" s="24">
        <f t="shared" si="37"/>
        <v>0.5</v>
      </c>
      <c r="AL126" s="24">
        <f t="shared" si="38"/>
        <v>0.5</v>
      </c>
      <c r="AM126" s="24">
        <f t="shared" si="39"/>
        <v>4</v>
      </c>
      <c r="AN126" s="24">
        <f t="shared" si="40"/>
        <v>1</v>
      </c>
      <c r="AO126" s="23">
        <f t="shared" si="42"/>
        <v>18.8</v>
      </c>
      <c r="AP126" s="24">
        <f t="shared" si="41"/>
        <v>18.8</v>
      </c>
    </row>
    <row r="127" spans="1:42" x14ac:dyDescent="0.25">
      <c r="A127" t="s">
        <v>73</v>
      </c>
      <c r="B127" t="s">
        <v>162</v>
      </c>
      <c r="C127" t="s">
        <v>54</v>
      </c>
      <c r="D127" s="5">
        <v>30320</v>
      </c>
      <c r="E127">
        <v>22.1</v>
      </c>
      <c r="F127">
        <v>0.05</v>
      </c>
      <c r="G127">
        <v>6</v>
      </c>
      <c r="H127">
        <v>6</v>
      </c>
      <c r="I127">
        <v>700</v>
      </c>
      <c r="J127">
        <v>1</v>
      </c>
      <c r="K127" t="s">
        <v>294</v>
      </c>
      <c r="L127" s="5" cm="1">
        <f t="array" ref="L127">INDEX(DataValidation!$B$2:$B$11, _xlfn.XMATCH(K127, DataValidation!$A$2:$A$11))</f>
        <v>1</v>
      </c>
      <c r="M127">
        <v>0</v>
      </c>
      <c r="N127">
        <v>1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1</v>
      </c>
      <c r="U127">
        <v>0</v>
      </c>
      <c r="V127">
        <v>2</v>
      </c>
      <c r="W127" s="23">
        <f t="shared" si="23"/>
        <v>2.6240000000000001</v>
      </c>
      <c r="X127" s="24">
        <f t="shared" si="24"/>
        <v>3.1160000000000001</v>
      </c>
      <c r="Y127" s="24">
        <f t="shared" si="25"/>
        <v>1</v>
      </c>
      <c r="Z127" s="24">
        <f t="shared" si="26"/>
        <v>1.2000000000000002</v>
      </c>
      <c r="AA127" s="24">
        <f t="shared" si="27"/>
        <v>3</v>
      </c>
      <c r="AB127" s="24">
        <f t="shared" si="28"/>
        <v>2.3333333333333335</v>
      </c>
      <c r="AC127" s="24">
        <f t="shared" si="29"/>
        <v>1</v>
      </c>
      <c r="AD127" s="24">
        <f t="shared" si="30"/>
        <v>1</v>
      </c>
      <c r="AE127" s="24">
        <f t="shared" si="31"/>
        <v>0</v>
      </c>
      <c r="AF127" s="24">
        <f t="shared" si="32"/>
        <v>1</v>
      </c>
      <c r="AG127" s="24">
        <f t="shared" si="33"/>
        <v>0</v>
      </c>
      <c r="AH127" s="24">
        <f t="shared" si="34"/>
        <v>1</v>
      </c>
      <c r="AI127" s="24">
        <f t="shared" si="35"/>
        <v>1</v>
      </c>
      <c r="AJ127" s="24">
        <f t="shared" si="36"/>
        <v>0</v>
      </c>
      <c r="AK127" s="24">
        <f t="shared" si="37"/>
        <v>0</v>
      </c>
      <c r="AL127" s="24">
        <f t="shared" si="38"/>
        <v>0.5</v>
      </c>
      <c r="AM127" s="24">
        <f t="shared" si="39"/>
        <v>0</v>
      </c>
      <c r="AN127" s="24">
        <f t="shared" si="40"/>
        <v>4</v>
      </c>
      <c r="AO127" s="23">
        <f t="shared" si="42"/>
        <v>22.8</v>
      </c>
      <c r="AP127" s="24">
        <f t="shared" si="41"/>
        <v>20.100000000000001</v>
      </c>
    </row>
    <row r="128" spans="1:42" x14ac:dyDescent="0.25">
      <c r="A128" t="s">
        <v>73</v>
      </c>
      <c r="B128" t="s">
        <v>163</v>
      </c>
      <c r="C128" t="s">
        <v>54</v>
      </c>
      <c r="D128" s="5">
        <v>30320</v>
      </c>
      <c r="E128">
        <v>22.6</v>
      </c>
      <c r="F128">
        <v>0.05</v>
      </c>
      <c r="G128">
        <v>4</v>
      </c>
      <c r="H128">
        <v>6</v>
      </c>
      <c r="I128">
        <v>900</v>
      </c>
      <c r="J128">
        <v>1</v>
      </c>
      <c r="K128" t="s">
        <v>294</v>
      </c>
      <c r="L128" s="5" cm="1">
        <f t="array" ref="L128">INDEX(DataValidation!$B$2:$B$11, _xlfn.XMATCH(K128, DataValidation!$A$2:$A$11))</f>
        <v>1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1</v>
      </c>
      <c r="U128">
        <v>0</v>
      </c>
      <c r="V128">
        <v>2</v>
      </c>
      <c r="W128" s="23">
        <f t="shared" si="23"/>
        <v>2.6240000000000001</v>
      </c>
      <c r="X128" s="24">
        <f t="shared" si="24"/>
        <v>3.0960000000000001</v>
      </c>
      <c r="Y128" s="24">
        <f t="shared" si="25"/>
        <v>1</v>
      </c>
      <c r="Z128" s="24">
        <f t="shared" si="26"/>
        <v>0.8</v>
      </c>
      <c r="AA128" s="24">
        <f t="shared" si="27"/>
        <v>3</v>
      </c>
      <c r="AB128" s="24">
        <f t="shared" si="28"/>
        <v>3</v>
      </c>
      <c r="AC128" s="24">
        <f t="shared" si="29"/>
        <v>1</v>
      </c>
      <c r="AD128" s="24">
        <f t="shared" si="30"/>
        <v>1</v>
      </c>
      <c r="AE128" s="24">
        <f t="shared" si="31"/>
        <v>0</v>
      </c>
      <c r="AF128" s="24">
        <f t="shared" si="32"/>
        <v>1</v>
      </c>
      <c r="AG128" s="24">
        <f t="shared" si="33"/>
        <v>0</v>
      </c>
      <c r="AH128" s="24">
        <f t="shared" si="34"/>
        <v>1</v>
      </c>
      <c r="AI128" s="24">
        <f t="shared" si="35"/>
        <v>1</v>
      </c>
      <c r="AJ128" s="24">
        <f t="shared" si="36"/>
        <v>0</v>
      </c>
      <c r="AK128" s="24">
        <f t="shared" si="37"/>
        <v>0</v>
      </c>
      <c r="AL128" s="24">
        <f t="shared" si="38"/>
        <v>0.5</v>
      </c>
      <c r="AM128" s="24">
        <f t="shared" si="39"/>
        <v>0</v>
      </c>
      <c r="AN128" s="24">
        <f t="shared" si="40"/>
        <v>4</v>
      </c>
      <c r="AO128" s="23">
        <f t="shared" si="42"/>
        <v>23</v>
      </c>
      <c r="AP128" s="24">
        <f t="shared" si="41"/>
        <v>20.399999999999999</v>
      </c>
    </row>
    <row r="129" spans="1:42" x14ac:dyDescent="0.25">
      <c r="A129" t="s">
        <v>73</v>
      </c>
      <c r="B129" t="s">
        <v>164</v>
      </c>
      <c r="C129" t="s">
        <v>54</v>
      </c>
      <c r="D129" s="5">
        <v>41680</v>
      </c>
      <c r="E129">
        <v>32.799999999999997</v>
      </c>
      <c r="F129">
        <v>0.1</v>
      </c>
      <c r="G129">
        <v>12</v>
      </c>
      <c r="H129">
        <v>6</v>
      </c>
      <c r="I129">
        <v>1300</v>
      </c>
      <c r="J129">
        <v>1</v>
      </c>
      <c r="K129" t="s">
        <v>294</v>
      </c>
      <c r="L129" s="5" cm="1">
        <f t="array" ref="L129">INDEX(DataValidation!$B$2:$B$11, _xlfn.XMATCH(K129, DataValidation!$A$2:$A$11))</f>
        <v>1</v>
      </c>
      <c r="M129">
        <v>1</v>
      </c>
      <c r="N129">
        <v>1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2</v>
      </c>
      <c r="W129" s="23">
        <f t="shared" si="23"/>
        <v>1.1093333333333333</v>
      </c>
      <c r="X129" s="24">
        <f t="shared" si="24"/>
        <v>2.6880000000000002</v>
      </c>
      <c r="Y129" s="24">
        <f t="shared" si="25"/>
        <v>0</v>
      </c>
      <c r="Z129" s="24">
        <f t="shared" si="26"/>
        <v>2.4000000000000004</v>
      </c>
      <c r="AA129" s="24">
        <f t="shared" si="27"/>
        <v>3</v>
      </c>
      <c r="AB129" s="24">
        <f t="shared" si="28"/>
        <v>4.3333333333333339</v>
      </c>
      <c r="AC129" s="24">
        <f t="shared" si="29"/>
        <v>1</v>
      </c>
      <c r="AD129" s="24">
        <f t="shared" si="30"/>
        <v>1</v>
      </c>
      <c r="AE129" s="24">
        <f t="shared" si="31"/>
        <v>1</v>
      </c>
      <c r="AF129" s="24">
        <f t="shared" si="32"/>
        <v>1</v>
      </c>
      <c r="AG129" s="24">
        <f t="shared" si="33"/>
        <v>0</v>
      </c>
      <c r="AH129" s="24">
        <f t="shared" si="34"/>
        <v>1</v>
      </c>
      <c r="AI129" s="24">
        <f t="shared" si="35"/>
        <v>1</v>
      </c>
      <c r="AJ129" s="24">
        <f t="shared" si="36"/>
        <v>0</v>
      </c>
      <c r="AK129" s="24">
        <f t="shared" si="37"/>
        <v>0</v>
      </c>
      <c r="AL129" s="24">
        <f t="shared" si="38"/>
        <v>0.5</v>
      </c>
      <c r="AM129" s="24">
        <f t="shared" si="39"/>
        <v>0</v>
      </c>
      <c r="AN129" s="24">
        <f t="shared" si="40"/>
        <v>4</v>
      </c>
      <c r="AO129" s="23">
        <f t="shared" si="42"/>
        <v>24</v>
      </c>
      <c r="AP129" s="24">
        <f t="shared" si="41"/>
        <v>22.9</v>
      </c>
    </row>
    <row r="130" spans="1:42" x14ac:dyDescent="0.25">
      <c r="A130" t="s">
        <v>73</v>
      </c>
      <c r="B130" t="s">
        <v>165</v>
      </c>
      <c r="C130" t="s">
        <v>54</v>
      </c>
      <c r="D130" s="5">
        <v>44210</v>
      </c>
      <c r="E130">
        <v>32.5</v>
      </c>
      <c r="F130">
        <v>0.1</v>
      </c>
      <c r="G130">
        <v>14</v>
      </c>
      <c r="H130">
        <v>6</v>
      </c>
      <c r="I130">
        <v>1100</v>
      </c>
      <c r="J130">
        <v>1</v>
      </c>
      <c r="K130" t="s">
        <v>294</v>
      </c>
      <c r="L130" s="5" cm="1">
        <f t="array" ref="L130">INDEX(DataValidation!$B$2:$B$11, _xlfn.XMATCH(K130, DataValidation!$A$2:$A$11))</f>
        <v>1</v>
      </c>
      <c r="M130">
        <v>1</v>
      </c>
      <c r="N130">
        <v>1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2</v>
      </c>
      <c r="W130" s="23">
        <f t="shared" si="23"/>
        <v>0.77200000000000002</v>
      </c>
      <c r="X130" s="24">
        <f t="shared" si="24"/>
        <v>2.7</v>
      </c>
      <c r="Y130" s="24">
        <f t="shared" si="25"/>
        <v>0</v>
      </c>
      <c r="Z130" s="24">
        <f t="shared" si="26"/>
        <v>2.8000000000000003</v>
      </c>
      <c r="AA130" s="24">
        <f t="shared" si="27"/>
        <v>3</v>
      </c>
      <c r="AB130" s="24">
        <f t="shared" si="28"/>
        <v>3.666666666666667</v>
      </c>
      <c r="AC130" s="24">
        <f t="shared" si="29"/>
        <v>1</v>
      </c>
      <c r="AD130" s="24">
        <f t="shared" si="30"/>
        <v>1</v>
      </c>
      <c r="AE130" s="24">
        <f t="shared" si="31"/>
        <v>1</v>
      </c>
      <c r="AF130" s="24">
        <f t="shared" si="32"/>
        <v>1</v>
      </c>
      <c r="AG130" s="24">
        <f t="shared" si="33"/>
        <v>0</v>
      </c>
      <c r="AH130" s="24">
        <f t="shared" si="34"/>
        <v>1</v>
      </c>
      <c r="AI130" s="24">
        <f t="shared" si="35"/>
        <v>1</v>
      </c>
      <c r="AJ130" s="24">
        <f t="shared" si="36"/>
        <v>0</v>
      </c>
      <c r="AK130" s="24">
        <f t="shared" si="37"/>
        <v>0</v>
      </c>
      <c r="AL130" s="24">
        <f t="shared" si="38"/>
        <v>0.5</v>
      </c>
      <c r="AM130" s="24">
        <f t="shared" si="39"/>
        <v>0</v>
      </c>
      <c r="AN130" s="24">
        <f t="shared" si="40"/>
        <v>4</v>
      </c>
      <c r="AO130" s="23">
        <f t="shared" si="42"/>
        <v>23.4</v>
      </c>
      <c r="AP130" s="24">
        <f t="shared" si="41"/>
        <v>22.7</v>
      </c>
    </row>
    <row r="131" spans="1:42" x14ac:dyDescent="0.25">
      <c r="A131" t="s">
        <v>73</v>
      </c>
      <c r="B131" t="s">
        <v>166</v>
      </c>
      <c r="C131" t="s">
        <v>54</v>
      </c>
      <c r="D131" s="5">
        <v>48050</v>
      </c>
      <c r="E131">
        <v>32.200000000000003</v>
      </c>
      <c r="F131">
        <v>0.1</v>
      </c>
      <c r="G131">
        <v>16</v>
      </c>
      <c r="H131">
        <v>6</v>
      </c>
      <c r="I131">
        <v>900</v>
      </c>
      <c r="J131">
        <v>1</v>
      </c>
      <c r="K131" t="s">
        <v>294</v>
      </c>
      <c r="L131" s="5" cm="1">
        <f t="array" ref="L131">INDEX(DataValidation!$B$2:$B$11, _xlfn.XMATCH(K131, DataValidation!$A$2:$A$11))</f>
        <v>1</v>
      </c>
      <c r="M131">
        <v>1</v>
      </c>
      <c r="N131">
        <v>1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2</v>
      </c>
      <c r="W131" s="23">
        <f t="shared" ref="W131:W162" si="43">IF(OR(ISBLANK(D131),W$169="N"),0,(W$170-D131)*W$168)</f>
        <v>0.26</v>
      </c>
      <c r="X131" s="24">
        <f t="shared" ref="X131:X162" si="44">IF(OR(ISBLANK(E131),X$169="N"),0,(X$170-E131)*X$168)</f>
        <v>2.7119999999999997</v>
      </c>
      <c r="Y131" s="24">
        <f t="shared" ref="Y131:Y162" si="45">IF(OR(ISBLANK(F131),Y$169="N"),0,(Y$170-F131)*Y$168)</f>
        <v>0</v>
      </c>
      <c r="Z131" s="24">
        <f t="shared" ref="Z131:Z162" si="46">IF(OR(ISBLANK(G131),Z$169="N"),0,G131*Z$168)</f>
        <v>3.2</v>
      </c>
      <c r="AA131" s="24">
        <f t="shared" ref="AA131:AA162" si="47">IF(OR(ISBLANK(H131),AA$169="N"),0,H131*AA$168)</f>
        <v>3</v>
      </c>
      <c r="AB131" s="24">
        <f t="shared" ref="AB131:AB162" si="48">IF(OR(ISBLANK(I131),AB$169="N"),0,I131*AB$168)</f>
        <v>3</v>
      </c>
      <c r="AC131" s="24">
        <f t="shared" ref="AC131:AC162" si="49">IF(OR(ISBLANK(J131),AC$169="N"),0,J131*AC$168)</f>
        <v>1</v>
      </c>
      <c r="AD131" s="24">
        <f t="shared" ref="AD131:AD162" si="50">IF(OR(ISBLANK(L131),AD$169="N"),0,L131*AD$168)</f>
        <v>1</v>
      </c>
      <c r="AE131" s="24">
        <f t="shared" ref="AE131:AE162" si="51">IF(OR(ISBLANK(M131),AE$169="N"),0,M131*AE$168)</f>
        <v>1</v>
      </c>
      <c r="AF131" s="24">
        <f t="shared" ref="AF131:AF162" si="52">IF(OR(ISBLANK(N131),AF$169="N"),0,N131*AF$168)</f>
        <v>1</v>
      </c>
      <c r="AG131" s="24">
        <f t="shared" ref="AG131:AG162" si="53">IF(OR(ISBLANK(O131),AG$169="N"),0,O131*AG$168)</f>
        <v>0</v>
      </c>
      <c r="AH131" s="24">
        <f t="shared" ref="AH131:AH162" si="54">IF(OR(ISBLANK(P131),AH$169="N"),0,P131*AH$168)</f>
        <v>1</v>
      </c>
      <c r="AI131" s="24">
        <f t="shared" ref="AI131:AI162" si="55">IF(OR(ISBLANK(Q131),AI$169="N"),0,Q131*AI$168)</f>
        <v>1</v>
      </c>
      <c r="AJ131" s="24">
        <f t="shared" ref="AJ131:AJ162" si="56">IF(OR(ISBLANK(R131),AJ$169="N"),0,R131*AJ$168)</f>
        <v>0</v>
      </c>
      <c r="AK131" s="24">
        <f t="shared" ref="AK131:AK162" si="57">IF(OR(ISBLANK(S131),AK$169="N"),0,S131*AK$168)</f>
        <v>0</v>
      </c>
      <c r="AL131" s="24">
        <f t="shared" ref="AL131:AL162" si="58">IF(OR(ISBLANK(T131),AL$169="N"),0,T131*AL$168)</f>
        <v>0.5</v>
      </c>
      <c r="AM131" s="24">
        <f t="shared" ref="AM131:AM162" si="59">IF(OR(ISBLANK(U131),AM$169="N"),0,U131*AM$168)</f>
        <v>0</v>
      </c>
      <c r="AN131" s="24">
        <f t="shared" ref="AN131:AN162" si="60">IF(OR(ISBLANK(V131),AN$169="N"),0,V131*AN$168)</f>
        <v>4</v>
      </c>
      <c r="AO131" s="23">
        <f t="shared" si="42"/>
        <v>22.7</v>
      </c>
      <c r="AP131" s="24">
        <f t="shared" ref="AP131:AP162" si="61">ROUND(SUM(X131:AN131),1)</f>
        <v>22.4</v>
      </c>
    </row>
    <row r="132" spans="1:42" x14ac:dyDescent="0.25">
      <c r="A132" t="s">
        <v>73</v>
      </c>
      <c r="B132" t="s">
        <v>167</v>
      </c>
      <c r="C132" t="s">
        <v>54</v>
      </c>
      <c r="D132" s="5">
        <v>50650</v>
      </c>
      <c r="E132">
        <v>33</v>
      </c>
      <c r="F132">
        <v>0.1</v>
      </c>
      <c r="G132">
        <v>20</v>
      </c>
      <c r="H132">
        <v>6</v>
      </c>
      <c r="I132">
        <v>1300</v>
      </c>
      <c r="J132">
        <v>1</v>
      </c>
      <c r="K132" t="s">
        <v>294</v>
      </c>
      <c r="L132" s="5" cm="1">
        <f t="array" ref="L132">INDEX(DataValidation!$B$2:$B$11, _xlfn.XMATCH(K132, DataValidation!$A$2:$A$11))</f>
        <v>1</v>
      </c>
      <c r="M132">
        <v>1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2</v>
      </c>
      <c r="W132" s="23">
        <f t="shared" si="43"/>
        <v>-8.666666666666667E-2</v>
      </c>
      <c r="X132" s="24">
        <f t="shared" si="44"/>
        <v>2.68</v>
      </c>
      <c r="Y132" s="24">
        <f t="shared" si="45"/>
        <v>0</v>
      </c>
      <c r="Z132" s="24">
        <f t="shared" si="46"/>
        <v>4</v>
      </c>
      <c r="AA132" s="24">
        <f t="shared" si="47"/>
        <v>3</v>
      </c>
      <c r="AB132" s="24">
        <f t="shared" si="48"/>
        <v>4.3333333333333339</v>
      </c>
      <c r="AC132" s="24">
        <f t="shared" si="49"/>
        <v>1</v>
      </c>
      <c r="AD132" s="24">
        <f t="shared" si="50"/>
        <v>1</v>
      </c>
      <c r="AE132" s="24">
        <f t="shared" si="51"/>
        <v>1</v>
      </c>
      <c r="AF132" s="24">
        <f t="shared" si="52"/>
        <v>1</v>
      </c>
      <c r="AG132" s="24">
        <f t="shared" si="53"/>
        <v>0</v>
      </c>
      <c r="AH132" s="24">
        <f t="shared" si="54"/>
        <v>1</v>
      </c>
      <c r="AI132" s="24">
        <f t="shared" si="55"/>
        <v>1</v>
      </c>
      <c r="AJ132" s="24">
        <f t="shared" si="56"/>
        <v>0</v>
      </c>
      <c r="AK132" s="24">
        <f t="shared" si="57"/>
        <v>0</v>
      </c>
      <c r="AL132" s="24">
        <f t="shared" si="58"/>
        <v>0.5</v>
      </c>
      <c r="AM132" s="24">
        <f t="shared" si="59"/>
        <v>0</v>
      </c>
      <c r="AN132" s="24">
        <f t="shared" si="60"/>
        <v>4</v>
      </c>
      <c r="AO132" s="23">
        <f t="shared" ref="AO132:AO162" si="62">ROUND(SUM(W132:AN132),1)</f>
        <v>24.4</v>
      </c>
      <c r="AP132" s="24">
        <f t="shared" si="61"/>
        <v>24.5</v>
      </c>
    </row>
    <row r="133" spans="1:42" x14ac:dyDescent="0.25">
      <c r="A133" t="s">
        <v>73</v>
      </c>
      <c r="B133" t="s">
        <v>157</v>
      </c>
      <c r="C133" t="s">
        <v>54</v>
      </c>
      <c r="E133">
        <v>23.6</v>
      </c>
      <c r="F133">
        <v>0.03</v>
      </c>
      <c r="G133">
        <v>5</v>
      </c>
      <c r="H133">
        <v>6</v>
      </c>
      <c r="I133">
        <v>900</v>
      </c>
      <c r="J133">
        <v>1</v>
      </c>
      <c r="K133" t="s">
        <v>258</v>
      </c>
      <c r="L133" s="5" cm="1">
        <f t="array" ref="L133">INDEX(DataValidation!$B$2:$B$11, _xlfn.XMATCH(K133, DataValidation!$A$2:$A$11))</f>
        <v>2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2</v>
      </c>
      <c r="W133" s="23">
        <f t="shared" si="43"/>
        <v>0</v>
      </c>
      <c r="X133" s="24">
        <f t="shared" si="44"/>
        <v>3.0560000000000005</v>
      </c>
      <c r="Y133" s="24">
        <f t="shared" si="45"/>
        <v>1.4000000000000001</v>
      </c>
      <c r="Z133" s="24">
        <f t="shared" si="46"/>
        <v>1</v>
      </c>
      <c r="AA133" s="24">
        <f t="shared" si="47"/>
        <v>3</v>
      </c>
      <c r="AB133" s="24">
        <f t="shared" si="48"/>
        <v>3</v>
      </c>
      <c r="AC133" s="24">
        <f t="shared" si="49"/>
        <v>1</v>
      </c>
      <c r="AD133" s="24">
        <f t="shared" si="50"/>
        <v>2</v>
      </c>
      <c r="AE133" s="24">
        <f t="shared" si="51"/>
        <v>0</v>
      </c>
      <c r="AF133" s="24">
        <f t="shared" si="52"/>
        <v>1</v>
      </c>
      <c r="AG133" s="24">
        <f t="shared" si="53"/>
        <v>1</v>
      </c>
      <c r="AH133" s="24">
        <f t="shared" si="54"/>
        <v>1</v>
      </c>
      <c r="AI133" s="24">
        <f t="shared" si="55"/>
        <v>1</v>
      </c>
      <c r="AJ133" s="24">
        <f t="shared" si="56"/>
        <v>0</v>
      </c>
      <c r="AK133" s="24">
        <f t="shared" si="57"/>
        <v>0</v>
      </c>
      <c r="AL133" s="24">
        <f t="shared" si="58"/>
        <v>0</v>
      </c>
      <c r="AM133" s="24">
        <f t="shared" si="59"/>
        <v>0</v>
      </c>
      <c r="AN133" s="24">
        <f t="shared" si="60"/>
        <v>4</v>
      </c>
      <c r="AO133" s="23">
        <f t="shared" si="62"/>
        <v>22.5</v>
      </c>
      <c r="AP133" s="24">
        <f t="shared" si="61"/>
        <v>22.5</v>
      </c>
    </row>
    <row r="134" spans="1:42" x14ac:dyDescent="0.25">
      <c r="A134" t="s">
        <v>73</v>
      </c>
      <c r="B134" t="s">
        <v>158</v>
      </c>
      <c r="C134" t="s">
        <v>54</v>
      </c>
      <c r="E134">
        <v>22.6</v>
      </c>
      <c r="F134">
        <v>0.03</v>
      </c>
      <c r="G134">
        <v>7</v>
      </c>
      <c r="H134">
        <v>6</v>
      </c>
      <c r="I134">
        <v>700</v>
      </c>
      <c r="J134">
        <v>1</v>
      </c>
      <c r="K134" t="s">
        <v>258</v>
      </c>
      <c r="L134" s="5" cm="1">
        <f t="array" ref="L134">INDEX(DataValidation!$B$2:$B$11, _xlfn.XMATCH(K134, DataValidation!$A$2:$A$11))</f>
        <v>2</v>
      </c>
      <c r="M134">
        <v>0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2</v>
      </c>
      <c r="W134" s="23">
        <f t="shared" si="43"/>
        <v>0</v>
      </c>
      <c r="X134" s="24">
        <f t="shared" si="44"/>
        <v>3.0960000000000001</v>
      </c>
      <c r="Y134" s="24">
        <f t="shared" si="45"/>
        <v>1.4000000000000001</v>
      </c>
      <c r="Z134" s="24">
        <f t="shared" si="46"/>
        <v>1.4000000000000001</v>
      </c>
      <c r="AA134" s="24">
        <f t="shared" si="47"/>
        <v>3</v>
      </c>
      <c r="AB134" s="24">
        <f t="shared" si="48"/>
        <v>2.3333333333333335</v>
      </c>
      <c r="AC134" s="24">
        <f t="shared" si="49"/>
        <v>1</v>
      </c>
      <c r="AD134" s="24">
        <f t="shared" si="50"/>
        <v>2</v>
      </c>
      <c r="AE134" s="24">
        <f t="shared" si="51"/>
        <v>0</v>
      </c>
      <c r="AF134" s="24">
        <f t="shared" si="52"/>
        <v>1</v>
      </c>
      <c r="AG134" s="24">
        <f t="shared" si="53"/>
        <v>1</v>
      </c>
      <c r="AH134" s="24">
        <f t="shared" si="54"/>
        <v>1</v>
      </c>
      <c r="AI134" s="24">
        <f t="shared" si="55"/>
        <v>1</v>
      </c>
      <c r="AJ134" s="24">
        <f t="shared" si="56"/>
        <v>0</v>
      </c>
      <c r="AK134" s="24">
        <f t="shared" si="57"/>
        <v>0</v>
      </c>
      <c r="AL134" s="24">
        <f t="shared" si="58"/>
        <v>0</v>
      </c>
      <c r="AM134" s="24">
        <f t="shared" si="59"/>
        <v>0</v>
      </c>
      <c r="AN134" s="24">
        <f t="shared" si="60"/>
        <v>4</v>
      </c>
      <c r="AO134" s="23">
        <f t="shared" si="62"/>
        <v>22.2</v>
      </c>
      <c r="AP134" s="24">
        <f t="shared" si="61"/>
        <v>22.2</v>
      </c>
    </row>
    <row r="135" spans="1:42" x14ac:dyDescent="0.25">
      <c r="A135" t="s">
        <v>73</v>
      </c>
      <c r="B135" t="s">
        <v>159</v>
      </c>
      <c r="C135" t="s">
        <v>54</v>
      </c>
      <c r="E135">
        <v>33</v>
      </c>
      <c r="F135">
        <v>0.03</v>
      </c>
      <c r="G135">
        <v>12</v>
      </c>
      <c r="H135">
        <v>6</v>
      </c>
      <c r="I135">
        <v>1300</v>
      </c>
      <c r="J135">
        <v>1</v>
      </c>
      <c r="K135" t="s">
        <v>258</v>
      </c>
      <c r="L135" s="5" cm="1">
        <f t="array" ref="L135">INDEX(DataValidation!$B$2:$B$11, _xlfn.XMATCH(K135, DataValidation!$A$2:$A$11))</f>
        <v>2</v>
      </c>
      <c r="M135">
        <v>0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2</v>
      </c>
      <c r="W135" s="23">
        <f t="shared" si="43"/>
        <v>0</v>
      </c>
      <c r="X135" s="24">
        <f t="shared" si="44"/>
        <v>2.68</v>
      </c>
      <c r="Y135" s="24">
        <f t="shared" si="45"/>
        <v>1.4000000000000001</v>
      </c>
      <c r="Z135" s="24">
        <f t="shared" si="46"/>
        <v>2.4000000000000004</v>
      </c>
      <c r="AA135" s="24">
        <f t="shared" si="47"/>
        <v>3</v>
      </c>
      <c r="AB135" s="24">
        <f t="shared" si="48"/>
        <v>4.3333333333333339</v>
      </c>
      <c r="AC135" s="24">
        <f t="shared" si="49"/>
        <v>1</v>
      </c>
      <c r="AD135" s="24">
        <f t="shared" si="50"/>
        <v>2</v>
      </c>
      <c r="AE135" s="24">
        <f t="shared" si="51"/>
        <v>0</v>
      </c>
      <c r="AF135" s="24">
        <f t="shared" si="52"/>
        <v>1</v>
      </c>
      <c r="AG135" s="24">
        <f t="shared" si="53"/>
        <v>1</v>
      </c>
      <c r="AH135" s="24">
        <f t="shared" si="54"/>
        <v>1</v>
      </c>
      <c r="AI135" s="24">
        <f t="shared" si="55"/>
        <v>1</v>
      </c>
      <c r="AJ135" s="24">
        <f t="shared" si="56"/>
        <v>0</v>
      </c>
      <c r="AK135" s="24">
        <f t="shared" si="57"/>
        <v>0</v>
      </c>
      <c r="AL135" s="24">
        <f t="shared" si="58"/>
        <v>0</v>
      </c>
      <c r="AM135" s="24">
        <f t="shared" si="59"/>
        <v>0</v>
      </c>
      <c r="AN135" s="24">
        <f t="shared" si="60"/>
        <v>4</v>
      </c>
      <c r="AO135" s="23">
        <f t="shared" si="62"/>
        <v>24.8</v>
      </c>
      <c r="AP135" s="24">
        <f t="shared" si="61"/>
        <v>24.8</v>
      </c>
    </row>
    <row r="136" spans="1:42" x14ac:dyDescent="0.25">
      <c r="A136" t="s">
        <v>73</v>
      </c>
      <c r="B136" t="s">
        <v>160</v>
      </c>
      <c r="C136" t="s">
        <v>54</v>
      </c>
      <c r="E136">
        <v>32.700000000000003</v>
      </c>
      <c r="F136">
        <v>0.03</v>
      </c>
      <c r="G136">
        <v>14</v>
      </c>
      <c r="H136">
        <v>6</v>
      </c>
      <c r="I136">
        <v>1100</v>
      </c>
      <c r="J136">
        <v>1</v>
      </c>
      <c r="K136" t="s">
        <v>258</v>
      </c>
      <c r="L136" s="5" cm="1">
        <f t="array" ref="L136">INDEX(DataValidation!$B$2:$B$11, _xlfn.XMATCH(K136, DataValidation!$A$2:$A$11))</f>
        <v>2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2</v>
      </c>
      <c r="W136" s="23">
        <f t="shared" si="43"/>
        <v>0</v>
      </c>
      <c r="X136" s="24">
        <f t="shared" si="44"/>
        <v>2.6919999999999997</v>
      </c>
      <c r="Y136" s="24">
        <f t="shared" si="45"/>
        <v>1.4000000000000001</v>
      </c>
      <c r="Z136" s="24">
        <f t="shared" si="46"/>
        <v>2.8000000000000003</v>
      </c>
      <c r="AA136" s="24">
        <f t="shared" si="47"/>
        <v>3</v>
      </c>
      <c r="AB136" s="24">
        <f t="shared" si="48"/>
        <v>3.666666666666667</v>
      </c>
      <c r="AC136" s="24">
        <f t="shared" si="49"/>
        <v>1</v>
      </c>
      <c r="AD136" s="24">
        <f t="shared" si="50"/>
        <v>2</v>
      </c>
      <c r="AE136" s="24">
        <f t="shared" si="51"/>
        <v>0</v>
      </c>
      <c r="AF136" s="24">
        <f t="shared" si="52"/>
        <v>1</v>
      </c>
      <c r="AG136" s="24">
        <f t="shared" si="53"/>
        <v>1</v>
      </c>
      <c r="AH136" s="24">
        <f t="shared" si="54"/>
        <v>1</v>
      </c>
      <c r="AI136" s="24">
        <f t="shared" si="55"/>
        <v>1</v>
      </c>
      <c r="AJ136" s="24">
        <f t="shared" si="56"/>
        <v>0</v>
      </c>
      <c r="AK136" s="24">
        <f t="shared" si="57"/>
        <v>0</v>
      </c>
      <c r="AL136" s="24">
        <f t="shared" si="58"/>
        <v>0</v>
      </c>
      <c r="AM136" s="24">
        <f t="shared" si="59"/>
        <v>0</v>
      </c>
      <c r="AN136" s="24">
        <f t="shared" si="60"/>
        <v>4</v>
      </c>
      <c r="AO136" s="23">
        <f t="shared" si="62"/>
        <v>24.6</v>
      </c>
      <c r="AP136" s="24">
        <f t="shared" si="61"/>
        <v>24.6</v>
      </c>
    </row>
    <row r="137" spans="1:42" x14ac:dyDescent="0.25">
      <c r="A137" t="s">
        <v>73</v>
      </c>
      <c r="B137" t="s">
        <v>161</v>
      </c>
      <c r="C137" t="s">
        <v>54</v>
      </c>
      <c r="E137">
        <v>81.3</v>
      </c>
      <c r="F137">
        <v>0.03</v>
      </c>
      <c r="G137">
        <v>25</v>
      </c>
      <c r="H137">
        <v>6</v>
      </c>
      <c r="I137">
        <v>1902</v>
      </c>
      <c r="J137">
        <v>1</v>
      </c>
      <c r="K137" t="s">
        <v>258</v>
      </c>
      <c r="L137" s="5" cm="1">
        <f t="array" ref="L137">INDEX(DataValidation!$B$2:$B$11, _xlfn.XMATCH(K137, DataValidation!$A$2:$A$11))</f>
        <v>2</v>
      </c>
      <c r="M137">
        <v>0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2</v>
      </c>
      <c r="W137" s="23">
        <f t="shared" si="43"/>
        <v>0</v>
      </c>
      <c r="X137" s="24">
        <f t="shared" si="44"/>
        <v>0.74800000000000011</v>
      </c>
      <c r="Y137" s="24">
        <f t="shared" si="45"/>
        <v>1.4000000000000001</v>
      </c>
      <c r="Z137" s="24">
        <f t="shared" si="46"/>
        <v>5</v>
      </c>
      <c r="AA137" s="24">
        <f t="shared" si="47"/>
        <v>3</v>
      </c>
      <c r="AB137" s="24">
        <f t="shared" si="48"/>
        <v>6.3400000000000007</v>
      </c>
      <c r="AC137" s="24">
        <f t="shared" si="49"/>
        <v>1</v>
      </c>
      <c r="AD137" s="24">
        <f t="shared" si="50"/>
        <v>2</v>
      </c>
      <c r="AE137" s="24">
        <f t="shared" si="51"/>
        <v>0</v>
      </c>
      <c r="AF137" s="24">
        <f t="shared" si="52"/>
        <v>1</v>
      </c>
      <c r="AG137" s="24">
        <f t="shared" si="53"/>
        <v>1</v>
      </c>
      <c r="AH137" s="24">
        <f t="shared" si="54"/>
        <v>1</v>
      </c>
      <c r="AI137" s="24">
        <f t="shared" si="55"/>
        <v>1</v>
      </c>
      <c r="AJ137" s="24">
        <f t="shared" si="56"/>
        <v>0</v>
      </c>
      <c r="AK137" s="24">
        <f t="shared" si="57"/>
        <v>0</v>
      </c>
      <c r="AL137" s="24">
        <f t="shared" si="58"/>
        <v>0</v>
      </c>
      <c r="AM137" s="24">
        <f t="shared" si="59"/>
        <v>0</v>
      </c>
      <c r="AN137" s="24">
        <f t="shared" si="60"/>
        <v>4</v>
      </c>
      <c r="AO137" s="23">
        <f t="shared" si="62"/>
        <v>27.5</v>
      </c>
      <c r="AP137" s="24">
        <f t="shared" si="61"/>
        <v>27.5</v>
      </c>
    </row>
    <row r="138" spans="1:42" x14ac:dyDescent="0.25">
      <c r="A138" t="s">
        <v>19</v>
      </c>
      <c r="B138" t="s">
        <v>20</v>
      </c>
      <c r="C138" t="s">
        <v>9</v>
      </c>
      <c r="E138">
        <v>37</v>
      </c>
      <c r="F138">
        <v>0.03</v>
      </c>
      <c r="G138">
        <v>4</v>
      </c>
      <c r="H138">
        <v>6</v>
      </c>
      <c r="I138">
        <v>954</v>
      </c>
      <c r="J138">
        <v>1</v>
      </c>
      <c r="K138" t="s">
        <v>258</v>
      </c>
      <c r="L138" s="5" cm="1">
        <f t="array" ref="L138">INDEX(DataValidation!$B$2:$B$11, _xlfn.XMATCH(K138, DataValidation!$A$2:$A$11))</f>
        <v>2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 s="23">
        <f t="shared" si="43"/>
        <v>0</v>
      </c>
      <c r="X138" s="24">
        <f t="shared" si="44"/>
        <v>2.52</v>
      </c>
      <c r="Y138" s="24">
        <f t="shared" si="45"/>
        <v>1.4000000000000001</v>
      </c>
      <c r="Z138" s="24">
        <f t="shared" si="46"/>
        <v>0.8</v>
      </c>
      <c r="AA138" s="24">
        <f t="shared" si="47"/>
        <v>3</v>
      </c>
      <c r="AB138" s="24">
        <f t="shared" si="48"/>
        <v>3.18</v>
      </c>
      <c r="AC138" s="24">
        <f t="shared" si="49"/>
        <v>1</v>
      </c>
      <c r="AD138" s="24">
        <f t="shared" si="50"/>
        <v>2</v>
      </c>
      <c r="AE138" s="24">
        <f t="shared" si="51"/>
        <v>0</v>
      </c>
      <c r="AF138" s="24">
        <f t="shared" si="52"/>
        <v>0</v>
      </c>
      <c r="AG138" s="24">
        <f t="shared" si="53"/>
        <v>1</v>
      </c>
      <c r="AH138" s="24">
        <f t="shared" si="54"/>
        <v>0</v>
      </c>
      <c r="AI138" s="24">
        <f t="shared" si="55"/>
        <v>0</v>
      </c>
      <c r="AJ138" s="24">
        <f t="shared" si="56"/>
        <v>0</v>
      </c>
      <c r="AK138" s="24">
        <f t="shared" si="57"/>
        <v>0</v>
      </c>
      <c r="AL138" s="24">
        <f t="shared" si="58"/>
        <v>0</v>
      </c>
      <c r="AM138" s="24">
        <f t="shared" si="59"/>
        <v>0</v>
      </c>
      <c r="AN138" s="24">
        <f t="shared" si="60"/>
        <v>4</v>
      </c>
      <c r="AO138" s="23">
        <f t="shared" si="62"/>
        <v>18.899999999999999</v>
      </c>
      <c r="AP138" s="24">
        <f t="shared" si="61"/>
        <v>18.899999999999999</v>
      </c>
    </row>
    <row r="139" spans="1:42" x14ac:dyDescent="0.25">
      <c r="A139" t="s">
        <v>19</v>
      </c>
      <c r="B139" t="s">
        <v>108</v>
      </c>
      <c r="C139" t="s">
        <v>9</v>
      </c>
      <c r="E139">
        <v>37</v>
      </c>
      <c r="F139">
        <v>0.03</v>
      </c>
      <c r="G139">
        <v>4</v>
      </c>
      <c r="H139">
        <v>6</v>
      </c>
      <c r="I139">
        <v>1317</v>
      </c>
      <c r="J139">
        <v>1</v>
      </c>
      <c r="K139" t="s">
        <v>258</v>
      </c>
      <c r="L139" s="5" cm="1">
        <f t="array" ref="L139">INDEX(DataValidation!$B$2:$B$11, _xlfn.XMATCH(K139, DataValidation!$A$2:$A$11))</f>
        <v>2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</v>
      </c>
      <c r="W139" s="23">
        <f t="shared" si="43"/>
        <v>0</v>
      </c>
      <c r="X139" s="24">
        <f t="shared" si="44"/>
        <v>2.52</v>
      </c>
      <c r="Y139" s="24">
        <f t="shared" si="45"/>
        <v>1.4000000000000001</v>
      </c>
      <c r="Z139" s="24">
        <f t="shared" si="46"/>
        <v>0.8</v>
      </c>
      <c r="AA139" s="24">
        <f t="shared" si="47"/>
        <v>3</v>
      </c>
      <c r="AB139" s="24">
        <f t="shared" si="48"/>
        <v>4.3900000000000006</v>
      </c>
      <c r="AC139" s="24">
        <f t="shared" si="49"/>
        <v>1</v>
      </c>
      <c r="AD139" s="24">
        <f t="shared" si="50"/>
        <v>2</v>
      </c>
      <c r="AE139" s="24">
        <f t="shared" si="51"/>
        <v>0</v>
      </c>
      <c r="AF139" s="24">
        <f t="shared" si="52"/>
        <v>0</v>
      </c>
      <c r="AG139" s="24">
        <f t="shared" si="53"/>
        <v>1</v>
      </c>
      <c r="AH139" s="24">
        <f t="shared" si="54"/>
        <v>0</v>
      </c>
      <c r="AI139" s="24">
        <f t="shared" si="55"/>
        <v>0</v>
      </c>
      <c r="AJ139" s="24">
        <f t="shared" si="56"/>
        <v>0</v>
      </c>
      <c r="AK139" s="24">
        <f t="shared" si="57"/>
        <v>0</v>
      </c>
      <c r="AL139" s="24">
        <f t="shared" si="58"/>
        <v>0</v>
      </c>
      <c r="AM139" s="24">
        <f t="shared" si="59"/>
        <v>0</v>
      </c>
      <c r="AN139" s="24">
        <f t="shared" si="60"/>
        <v>4</v>
      </c>
      <c r="AO139" s="23">
        <f t="shared" si="62"/>
        <v>20.100000000000001</v>
      </c>
      <c r="AP139" s="24">
        <f t="shared" si="61"/>
        <v>20.100000000000001</v>
      </c>
    </row>
    <row r="140" spans="1:42" x14ac:dyDescent="0.25">
      <c r="A140" t="s">
        <v>360</v>
      </c>
      <c r="B140" t="s">
        <v>361</v>
      </c>
      <c r="C140" t="s">
        <v>331</v>
      </c>
      <c r="D140" s="5">
        <v>20000</v>
      </c>
      <c r="E140">
        <v>11</v>
      </c>
      <c r="F140">
        <v>0.05</v>
      </c>
      <c r="G140">
        <v>3</v>
      </c>
      <c r="H140">
        <v>6</v>
      </c>
      <c r="I140">
        <v>730</v>
      </c>
      <c r="J140">
        <v>1</v>
      </c>
      <c r="K140" t="s">
        <v>294</v>
      </c>
      <c r="L140" s="5" cm="1">
        <f t="array" ref="L140">INDEX(DataValidation!$B$2:$B$11, _xlfn.XMATCH(K140, DataValidation!$A$2:$A$11))</f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2</v>
      </c>
      <c r="W140" s="23">
        <f t="shared" si="43"/>
        <v>4</v>
      </c>
      <c r="X140" s="24">
        <f t="shared" si="44"/>
        <v>3.56</v>
      </c>
      <c r="Y140" s="24">
        <f t="shared" si="45"/>
        <v>1</v>
      </c>
      <c r="Z140" s="24">
        <f t="shared" si="46"/>
        <v>0.60000000000000009</v>
      </c>
      <c r="AA140" s="24">
        <f t="shared" si="47"/>
        <v>3</v>
      </c>
      <c r="AB140" s="24">
        <f t="shared" si="48"/>
        <v>2.4333333333333336</v>
      </c>
      <c r="AC140" s="24">
        <f t="shared" si="49"/>
        <v>1</v>
      </c>
      <c r="AD140" s="24">
        <f t="shared" si="50"/>
        <v>1</v>
      </c>
      <c r="AE140" s="24">
        <f t="shared" si="51"/>
        <v>0</v>
      </c>
      <c r="AF140" s="24">
        <f t="shared" si="52"/>
        <v>1</v>
      </c>
      <c r="AG140" s="24">
        <f t="shared" si="53"/>
        <v>1</v>
      </c>
      <c r="AH140" s="24">
        <f t="shared" si="54"/>
        <v>1</v>
      </c>
      <c r="AI140" s="24">
        <f t="shared" si="55"/>
        <v>1</v>
      </c>
      <c r="AJ140" s="24">
        <f t="shared" si="56"/>
        <v>0</v>
      </c>
      <c r="AK140" s="24">
        <f t="shared" si="57"/>
        <v>0</v>
      </c>
      <c r="AL140" s="24">
        <f t="shared" si="58"/>
        <v>0.5</v>
      </c>
      <c r="AM140" s="24">
        <f t="shared" si="59"/>
        <v>0</v>
      </c>
      <c r="AN140" s="24">
        <f t="shared" si="60"/>
        <v>4</v>
      </c>
      <c r="AO140" s="23">
        <f t="shared" si="62"/>
        <v>25.1</v>
      </c>
      <c r="AP140" s="24">
        <f t="shared" si="61"/>
        <v>21.1</v>
      </c>
    </row>
    <row r="141" spans="1:42" x14ac:dyDescent="0.25">
      <c r="A141" t="s">
        <v>360</v>
      </c>
      <c r="B141" t="s">
        <v>362</v>
      </c>
      <c r="C141" t="s">
        <v>331</v>
      </c>
      <c r="D141" s="5">
        <v>23500</v>
      </c>
      <c r="E141">
        <v>22.4</v>
      </c>
      <c r="F141">
        <v>0.05</v>
      </c>
      <c r="G141">
        <v>3</v>
      </c>
      <c r="H141">
        <v>6</v>
      </c>
      <c r="I141">
        <v>1200</v>
      </c>
      <c r="J141">
        <v>1</v>
      </c>
      <c r="K141" t="s">
        <v>294</v>
      </c>
      <c r="L141" s="5" cm="1">
        <f t="array" ref="L141">INDEX(DataValidation!$B$2:$B$11, _xlfn.XMATCH(K141, DataValidation!$A$2:$A$11))</f>
        <v>1</v>
      </c>
      <c r="M141">
        <v>0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2</v>
      </c>
      <c r="W141" s="23">
        <f t="shared" si="43"/>
        <v>3.5333333333333337</v>
      </c>
      <c r="X141" s="24">
        <f t="shared" si="44"/>
        <v>3.1039999999999996</v>
      </c>
      <c r="Y141" s="24">
        <f t="shared" si="45"/>
        <v>1</v>
      </c>
      <c r="Z141" s="24">
        <f t="shared" si="46"/>
        <v>0.60000000000000009</v>
      </c>
      <c r="AA141" s="24">
        <f t="shared" si="47"/>
        <v>3</v>
      </c>
      <c r="AB141" s="24">
        <f t="shared" si="48"/>
        <v>4</v>
      </c>
      <c r="AC141" s="24">
        <f t="shared" si="49"/>
        <v>1</v>
      </c>
      <c r="AD141" s="24">
        <f t="shared" si="50"/>
        <v>1</v>
      </c>
      <c r="AE141" s="24">
        <f t="shared" si="51"/>
        <v>0</v>
      </c>
      <c r="AF141" s="24">
        <f t="shared" si="52"/>
        <v>1</v>
      </c>
      <c r="AG141" s="24">
        <f t="shared" si="53"/>
        <v>1</v>
      </c>
      <c r="AH141" s="24">
        <f t="shared" si="54"/>
        <v>1</v>
      </c>
      <c r="AI141" s="24">
        <f t="shared" si="55"/>
        <v>1</v>
      </c>
      <c r="AJ141" s="24">
        <f t="shared" si="56"/>
        <v>1</v>
      </c>
      <c r="AK141" s="24">
        <f t="shared" si="57"/>
        <v>0</v>
      </c>
      <c r="AL141" s="24">
        <f t="shared" si="58"/>
        <v>0.5</v>
      </c>
      <c r="AM141" s="24">
        <f t="shared" si="59"/>
        <v>0</v>
      </c>
      <c r="AN141" s="24">
        <f t="shared" si="60"/>
        <v>4</v>
      </c>
      <c r="AO141" s="23">
        <f t="shared" si="62"/>
        <v>26.7</v>
      </c>
      <c r="AP141" s="24">
        <f t="shared" si="61"/>
        <v>23.2</v>
      </c>
    </row>
    <row r="142" spans="1:42" x14ac:dyDescent="0.25">
      <c r="A142" t="s">
        <v>360</v>
      </c>
      <c r="B142" t="s">
        <v>363</v>
      </c>
      <c r="C142" t="s">
        <v>331</v>
      </c>
      <c r="D142" s="5">
        <v>44500</v>
      </c>
      <c r="E142">
        <v>75</v>
      </c>
      <c r="F142">
        <v>0.05</v>
      </c>
      <c r="G142">
        <v>20</v>
      </c>
      <c r="H142">
        <v>6</v>
      </c>
      <c r="I142">
        <v>1900</v>
      </c>
      <c r="J142">
        <v>1</v>
      </c>
      <c r="K142" t="s">
        <v>294</v>
      </c>
      <c r="L142" s="5" cm="1">
        <f t="array" ref="L142">INDEX(DataValidation!$B$2:$B$11, _xlfn.XMATCH(K142, DataValidation!$A$2:$A$11))</f>
        <v>1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1</v>
      </c>
      <c r="U142">
        <v>0</v>
      </c>
      <c r="V142">
        <v>2</v>
      </c>
      <c r="W142" s="23">
        <f t="shared" si="43"/>
        <v>0.73333333333333339</v>
      </c>
      <c r="X142" s="24">
        <f t="shared" si="44"/>
        <v>1</v>
      </c>
      <c r="Y142" s="24">
        <f t="shared" si="45"/>
        <v>1</v>
      </c>
      <c r="Z142" s="24">
        <f t="shared" si="46"/>
        <v>4</v>
      </c>
      <c r="AA142" s="24">
        <f t="shared" si="47"/>
        <v>3</v>
      </c>
      <c r="AB142" s="24">
        <f t="shared" si="48"/>
        <v>6.3333333333333339</v>
      </c>
      <c r="AC142" s="24">
        <f t="shared" si="49"/>
        <v>1</v>
      </c>
      <c r="AD142" s="24">
        <f t="shared" si="50"/>
        <v>1</v>
      </c>
      <c r="AE142" s="24">
        <f t="shared" si="51"/>
        <v>0</v>
      </c>
      <c r="AF142" s="24">
        <f t="shared" si="52"/>
        <v>1</v>
      </c>
      <c r="AG142" s="24">
        <f t="shared" si="53"/>
        <v>1</v>
      </c>
      <c r="AH142" s="24">
        <f t="shared" si="54"/>
        <v>1</v>
      </c>
      <c r="AI142" s="24">
        <f t="shared" si="55"/>
        <v>1</v>
      </c>
      <c r="AJ142" s="24">
        <f t="shared" si="56"/>
        <v>1</v>
      </c>
      <c r="AK142" s="24">
        <f t="shared" si="57"/>
        <v>0</v>
      </c>
      <c r="AL142" s="24">
        <f t="shared" si="58"/>
        <v>0.5</v>
      </c>
      <c r="AM142" s="24">
        <f t="shared" si="59"/>
        <v>0</v>
      </c>
      <c r="AN142" s="24">
        <f t="shared" si="60"/>
        <v>4</v>
      </c>
      <c r="AO142" s="23">
        <f t="shared" si="62"/>
        <v>27.6</v>
      </c>
      <c r="AP142" s="24">
        <f t="shared" si="61"/>
        <v>26.8</v>
      </c>
    </row>
    <row r="143" spans="1:42" x14ac:dyDescent="0.25">
      <c r="A143" t="s">
        <v>344</v>
      </c>
      <c r="B143" t="s">
        <v>345</v>
      </c>
      <c r="C143" t="s">
        <v>9</v>
      </c>
      <c r="D143" s="5">
        <v>13990</v>
      </c>
      <c r="E143">
        <v>17.5</v>
      </c>
      <c r="F143">
        <v>0.05</v>
      </c>
      <c r="G143">
        <v>4</v>
      </c>
      <c r="H143">
        <v>6</v>
      </c>
      <c r="I143">
        <v>919</v>
      </c>
      <c r="J143">
        <v>1</v>
      </c>
      <c r="K143" t="s">
        <v>294</v>
      </c>
      <c r="L143" s="5" cm="1">
        <f t="array" ref="L143">INDEX(DataValidation!$B$2:$B$11, _xlfn.XMATCH(K143, DataValidation!$A$2:$A$11))</f>
        <v>1</v>
      </c>
      <c r="M143">
        <v>0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2</v>
      </c>
      <c r="W143" s="23">
        <f t="shared" si="43"/>
        <v>4.8013333333333339</v>
      </c>
      <c r="X143" s="24">
        <f t="shared" si="44"/>
        <v>3.3000000000000003</v>
      </c>
      <c r="Y143" s="24">
        <f t="shared" si="45"/>
        <v>1</v>
      </c>
      <c r="Z143" s="24">
        <f t="shared" si="46"/>
        <v>0.8</v>
      </c>
      <c r="AA143" s="24">
        <f t="shared" si="47"/>
        <v>3</v>
      </c>
      <c r="AB143" s="24">
        <f t="shared" si="48"/>
        <v>3.0633333333333335</v>
      </c>
      <c r="AC143" s="24">
        <f t="shared" si="49"/>
        <v>1</v>
      </c>
      <c r="AD143" s="24">
        <f t="shared" si="50"/>
        <v>1</v>
      </c>
      <c r="AE143" s="24">
        <f t="shared" si="51"/>
        <v>0</v>
      </c>
      <c r="AF143" s="24">
        <f t="shared" si="52"/>
        <v>1</v>
      </c>
      <c r="AG143" s="24">
        <f t="shared" si="53"/>
        <v>0</v>
      </c>
      <c r="AH143" s="24">
        <f t="shared" si="54"/>
        <v>0</v>
      </c>
      <c r="AI143" s="24">
        <f t="shared" si="55"/>
        <v>1</v>
      </c>
      <c r="AJ143" s="24">
        <f t="shared" si="56"/>
        <v>0</v>
      </c>
      <c r="AK143" s="24">
        <f t="shared" si="57"/>
        <v>0.5</v>
      </c>
      <c r="AL143" s="24">
        <f t="shared" si="58"/>
        <v>0.5</v>
      </c>
      <c r="AM143" s="24">
        <f t="shared" si="59"/>
        <v>0</v>
      </c>
      <c r="AN143" s="24">
        <f t="shared" si="60"/>
        <v>4</v>
      </c>
      <c r="AO143" s="23">
        <f t="shared" si="62"/>
        <v>25</v>
      </c>
      <c r="AP143" s="24">
        <f t="shared" si="61"/>
        <v>20.2</v>
      </c>
    </row>
    <row r="144" spans="1:42" x14ac:dyDescent="0.25">
      <c r="A144" t="s">
        <v>364</v>
      </c>
      <c r="B144" t="s">
        <v>365</v>
      </c>
      <c r="C144" t="s">
        <v>9</v>
      </c>
      <c r="D144" s="5">
        <v>22900</v>
      </c>
      <c r="E144">
        <v>12</v>
      </c>
      <c r="F144">
        <v>0.02</v>
      </c>
      <c r="G144">
        <v>3</v>
      </c>
      <c r="H144">
        <v>6</v>
      </c>
      <c r="I144">
        <v>626</v>
      </c>
      <c r="J144">
        <v>1</v>
      </c>
      <c r="K144" t="s">
        <v>294</v>
      </c>
      <c r="L144" s="5" cm="1">
        <f t="array" ref="L144">INDEX(DataValidation!$B$2:$B$11, _xlfn.XMATCH(K144, DataValidation!$A$2:$A$11))</f>
        <v>1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0</v>
      </c>
      <c r="U144">
        <v>0</v>
      </c>
      <c r="V144">
        <v>2</v>
      </c>
      <c r="W144" s="23">
        <f t="shared" si="43"/>
        <v>3.6133333333333333</v>
      </c>
      <c r="X144" s="24">
        <f t="shared" si="44"/>
        <v>3.52</v>
      </c>
      <c r="Y144" s="24">
        <f t="shared" si="45"/>
        <v>1.6</v>
      </c>
      <c r="Z144" s="24">
        <f t="shared" si="46"/>
        <v>0.60000000000000009</v>
      </c>
      <c r="AA144" s="24">
        <f t="shared" si="47"/>
        <v>3</v>
      </c>
      <c r="AB144" s="24">
        <f t="shared" si="48"/>
        <v>2.0866666666666669</v>
      </c>
      <c r="AC144" s="24">
        <f t="shared" si="49"/>
        <v>1</v>
      </c>
      <c r="AD144" s="24">
        <f t="shared" si="50"/>
        <v>1</v>
      </c>
      <c r="AE144" s="24">
        <f t="shared" si="51"/>
        <v>0</v>
      </c>
      <c r="AF144" s="24">
        <f t="shared" si="52"/>
        <v>1</v>
      </c>
      <c r="AG144" s="24">
        <f t="shared" si="53"/>
        <v>0</v>
      </c>
      <c r="AH144" s="24">
        <f t="shared" si="54"/>
        <v>1</v>
      </c>
      <c r="AI144" s="24">
        <f t="shared" si="55"/>
        <v>1</v>
      </c>
      <c r="AJ144" s="24">
        <f t="shared" si="56"/>
        <v>0</v>
      </c>
      <c r="AK144" s="24">
        <f t="shared" si="57"/>
        <v>0.5</v>
      </c>
      <c r="AL144" s="24">
        <f t="shared" si="58"/>
        <v>0</v>
      </c>
      <c r="AM144" s="24">
        <f t="shared" si="59"/>
        <v>0</v>
      </c>
      <c r="AN144" s="24">
        <f t="shared" si="60"/>
        <v>4</v>
      </c>
      <c r="AO144" s="23">
        <f t="shared" si="62"/>
        <v>23.9</v>
      </c>
      <c r="AP144" s="24">
        <f t="shared" si="61"/>
        <v>20.3</v>
      </c>
    </row>
    <row r="145" spans="1:42" x14ac:dyDescent="0.25">
      <c r="A145" t="s">
        <v>364</v>
      </c>
      <c r="B145" t="s">
        <v>366</v>
      </c>
      <c r="C145" t="s">
        <v>9</v>
      </c>
      <c r="D145" s="5">
        <v>24500</v>
      </c>
      <c r="E145">
        <v>23</v>
      </c>
      <c r="F145">
        <v>0.02</v>
      </c>
      <c r="G145">
        <v>5</v>
      </c>
      <c r="H145">
        <v>6</v>
      </c>
      <c r="I145">
        <v>954</v>
      </c>
      <c r="J145">
        <v>1</v>
      </c>
      <c r="K145" t="s">
        <v>294</v>
      </c>
      <c r="L145" s="5" cm="1">
        <f t="array" ref="L145">INDEX(DataValidation!$B$2:$B$11, _xlfn.XMATCH(K145, DataValidation!$A$2:$A$11))</f>
        <v>1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2</v>
      </c>
      <c r="W145" s="23">
        <f t="shared" si="43"/>
        <v>3.4000000000000004</v>
      </c>
      <c r="X145" s="24">
        <f t="shared" si="44"/>
        <v>3.08</v>
      </c>
      <c r="Y145" s="24">
        <f t="shared" si="45"/>
        <v>1.6</v>
      </c>
      <c r="Z145" s="24">
        <f t="shared" si="46"/>
        <v>1</v>
      </c>
      <c r="AA145" s="24">
        <f t="shared" si="47"/>
        <v>3</v>
      </c>
      <c r="AB145" s="24">
        <f t="shared" si="48"/>
        <v>3.18</v>
      </c>
      <c r="AC145" s="24">
        <f t="shared" si="49"/>
        <v>1</v>
      </c>
      <c r="AD145" s="24">
        <f t="shared" si="50"/>
        <v>1</v>
      </c>
      <c r="AE145" s="24">
        <f t="shared" si="51"/>
        <v>0</v>
      </c>
      <c r="AF145" s="24">
        <f t="shared" si="52"/>
        <v>1</v>
      </c>
      <c r="AG145" s="24">
        <f t="shared" si="53"/>
        <v>0</v>
      </c>
      <c r="AH145" s="24">
        <f t="shared" si="54"/>
        <v>1</v>
      </c>
      <c r="AI145" s="24">
        <f t="shared" si="55"/>
        <v>1</v>
      </c>
      <c r="AJ145" s="24">
        <f t="shared" si="56"/>
        <v>0</v>
      </c>
      <c r="AK145" s="24">
        <f t="shared" si="57"/>
        <v>0.5</v>
      </c>
      <c r="AL145" s="24">
        <f t="shared" si="58"/>
        <v>0</v>
      </c>
      <c r="AM145" s="24">
        <f t="shared" si="59"/>
        <v>0</v>
      </c>
      <c r="AN145" s="24">
        <f t="shared" si="60"/>
        <v>4</v>
      </c>
      <c r="AO145" s="23">
        <f t="shared" si="62"/>
        <v>24.8</v>
      </c>
      <c r="AP145" s="24">
        <f t="shared" si="61"/>
        <v>21.4</v>
      </c>
    </row>
    <row r="146" spans="1:42" x14ac:dyDescent="0.25">
      <c r="A146" t="s">
        <v>364</v>
      </c>
      <c r="B146" t="s">
        <v>367</v>
      </c>
      <c r="C146" t="s">
        <v>9</v>
      </c>
      <c r="D146" s="5">
        <v>27200</v>
      </c>
      <c r="E146">
        <v>22</v>
      </c>
      <c r="F146">
        <v>0.02</v>
      </c>
      <c r="G146">
        <v>7</v>
      </c>
      <c r="H146">
        <v>6</v>
      </c>
      <c r="I146">
        <v>819</v>
      </c>
      <c r="J146">
        <v>1</v>
      </c>
      <c r="K146" t="s">
        <v>294</v>
      </c>
      <c r="L146" s="5" cm="1">
        <f t="array" ref="L146">INDEX(DataValidation!$B$2:$B$11, _xlfn.XMATCH(K146, DataValidation!$A$2:$A$11))</f>
        <v>1</v>
      </c>
      <c r="M146">
        <v>0</v>
      </c>
      <c r="N146">
        <v>1</v>
      </c>
      <c r="O146">
        <v>0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2</v>
      </c>
      <c r="W146" s="23">
        <f t="shared" si="43"/>
        <v>3.04</v>
      </c>
      <c r="X146" s="24">
        <f t="shared" si="44"/>
        <v>3.12</v>
      </c>
      <c r="Y146" s="24">
        <f t="shared" si="45"/>
        <v>1.6</v>
      </c>
      <c r="Z146" s="24">
        <f t="shared" si="46"/>
        <v>1.4000000000000001</v>
      </c>
      <c r="AA146" s="24">
        <f t="shared" si="47"/>
        <v>3</v>
      </c>
      <c r="AB146" s="24">
        <f t="shared" si="48"/>
        <v>2.73</v>
      </c>
      <c r="AC146" s="24">
        <f t="shared" si="49"/>
        <v>1</v>
      </c>
      <c r="AD146" s="24">
        <f t="shared" si="50"/>
        <v>1</v>
      </c>
      <c r="AE146" s="24">
        <f t="shared" si="51"/>
        <v>0</v>
      </c>
      <c r="AF146" s="24">
        <f t="shared" si="52"/>
        <v>1</v>
      </c>
      <c r="AG146" s="24">
        <f t="shared" si="53"/>
        <v>0</v>
      </c>
      <c r="AH146" s="24">
        <f t="shared" si="54"/>
        <v>1</v>
      </c>
      <c r="AI146" s="24">
        <f t="shared" si="55"/>
        <v>1</v>
      </c>
      <c r="AJ146" s="24">
        <f t="shared" si="56"/>
        <v>0</v>
      </c>
      <c r="AK146" s="24">
        <f t="shared" si="57"/>
        <v>0.5</v>
      </c>
      <c r="AL146" s="24">
        <f t="shared" si="58"/>
        <v>0</v>
      </c>
      <c r="AM146" s="24">
        <f t="shared" si="59"/>
        <v>0</v>
      </c>
      <c r="AN146" s="24">
        <f t="shared" si="60"/>
        <v>4</v>
      </c>
      <c r="AO146" s="23">
        <f t="shared" si="62"/>
        <v>24.4</v>
      </c>
      <c r="AP146" s="24">
        <f t="shared" si="61"/>
        <v>21.4</v>
      </c>
    </row>
    <row r="147" spans="1:42" x14ac:dyDescent="0.25">
      <c r="A147" t="s">
        <v>364</v>
      </c>
      <c r="B147" t="s">
        <v>368</v>
      </c>
      <c r="C147" t="s">
        <v>9</v>
      </c>
      <c r="D147" s="5">
        <v>31500</v>
      </c>
      <c r="E147">
        <v>41</v>
      </c>
      <c r="F147">
        <v>0.02</v>
      </c>
      <c r="G147">
        <v>12</v>
      </c>
      <c r="H147">
        <v>6</v>
      </c>
      <c r="I147">
        <v>1327</v>
      </c>
      <c r="J147">
        <v>1</v>
      </c>
      <c r="K147" t="s">
        <v>294</v>
      </c>
      <c r="L147" s="5" cm="1">
        <f t="array" ref="L147">INDEX(DataValidation!$B$2:$B$11, _xlfn.XMATCH(K147, DataValidation!$A$2:$A$11))</f>
        <v>1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2</v>
      </c>
      <c r="W147" s="23">
        <f t="shared" si="43"/>
        <v>2.4666666666666668</v>
      </c>
      <c r="X147" s="24">
        <f t="shared" si="44"/>
        <v>2.36</v>
      </c>
      <c r="Y147" s="24">
        <f t="shared" si="45"/>
        <v>1.6</v>
      </c>
      <c r="Z147" s="24">
        <f t="shared" si="46"/>
        <v>2.4000000000000004</v>
      </c>
      <c r="AA147" s="24">
        <f t="shared" si="47"/>
        <v>3</v>
      </c>
      <c r="AB147" s="24">
        <f t="shared" si="48"/>
        <v>4.4233333333333338</v>
      </c>
      <c r="AC147" s="24">
        <f t="shared" si="49"/>
        <v>1</v>
      </c>
      <c r="AD147" s="24">
        <f t="shared" si="50"/>
        <v>1</v>
      </c>
      <c r="AE147" s="24">
        <f t="shared" si="51"/>
        <v>0</v>
      </c>
      <c r="AF147" s="24">
        <f t="shared" si="52"/>
        <v>1</v>
      </c>
      <c r="AG147" s="24">
        <f t="shared" si="53"/>
        <v>0</v>
      </c>
      <c r="AH147" s="24">
        <f t="shared" si="54"/>
        <v>1</v>
      </c>
      <c r="AI147" s="24">
        <f t="shared" si="55"/>
        <v>1</v>
      </c>
      <c r="AJ147" s="24">
        <f t="shared" si="56"/>
        <v>0</v>
      </c>
      <c r="AK147" s="24">
        <f t="shared" si="57"/>
        <v>0.5</v>
      </c>
      <c r="AL147" s="24">
        <f t="shared" si="58"/>
        <v>0</v>
      </c>
      <c r="AM147" s="24">
        <f t="shared" si="59"/>
        <v>0</v>
      </c>
      <c r="AN147" s="24">
        <f t="shared" si="60"/>
        <v>4</v>
      </c>
      <c r="AO147" s="23">
        <f t="shared" si="62"/>
        <v>25.8</v>
      </c>
      <c r="AP147" s="24">
        <f t="shared" si="61"/>
        <v>23.3</v>
      </c>
    </row>
    <row r="148" spans="1:42" x14ac:dyDescent="0.25">
      <c r="A148" t="s">
        <v>364</v>
      </c>
      <c r="B148" t="s">
        <v>369</v>
      </c>
      <c r="C148" t="s">
        <v>9</v>
      </c>
      <c r="D148" s="5">
        <v>36900</v>
      </c>
      <c r="E148">
        <v>35</v>
      </c>
      <c r="F148">
        <v>0.02</v>
      </c>
      <c r="G148">
        <v>18</v>
      </c>
      <c r="H148">
        <v>6</v>
      </c>
      <c r="I148">
        <v>1073</v>
      </c>
      <c r="J148">
        <v>1</v>
      </c>
      <c r="K148" t="s">
        <v>294</v>
      </c>
      <c r="L148" s="5" cm="1">
        <f t="array" ref="L148">INDEX(DataValidation!$B$2:$B$11, _xlfn.XMATCH(K148, DataValidation!$A$2:$A$11))</f>
        <v>1</v>
      </c>
      <c r="M148">
        <v>0</v>
      </c>
      <c r="N148">
        <v>1</v>
      </c>
      <c r="O148">
        <v>0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2</v>
      </c>
      <c r="W148" s="23">
        <f t="shared" si="43"/>
        <v>1.7466666666666668</v>
      </c>
      <c r="X148" s="24">
        <f t="shared" si="44"/>
        <v>2.6</v>
      </c>
      <c r="Y148" s="24">
        <f t="shared" si="45"/>
        <v>1.6</v>
      </c>
      <c r="Z148" s="24">
        <f t="shared" si="46"/>
        <v>3.6</v>
      </c>
      <c r="AA148" s="24">
        <f t="shared" si="47"/>
        <v>3</v>
      </c>
      <c r="AB148" s="24">
        <f t="shared" si="48"/>
        <v>3.5766666666666671</v>
      </c>
      <c r="AC148" s="24">
        <f t="shared" si="49"/>
        <v>1</v>
      </c>
      <c r="AD148" s="24">
        <f t="shared" si="50"/>
        <v>1</v>
      </c>
      <c r="AE148" s="24">
        <f t="shared" si="51"/>
        <v>0</v>
      </c>
      <c r="AF148" s="24">
        <f t="shared" si="52"/>
        <v>1</v>
      </c>
      <c r="AG148" s="24">
        <f t="shared" si="53"/>
        <v>0</v>
      </c>
      <c r="AH148" s="24">
        <f t="shared" si="54"/>
        <v>1</v>
      </c>
      <c r="AI148" s="24">
        <f t="shared" si="55"/>
        <v>1</v>
      </c>
      <c r="AJ148" s="24">
        <f t="shared" si="56"/>
        <v>0</v>
      </c>
      <c r="AK148" s="24">
        <f t="shared" si="57"/>
        <v>0.5</v>
      </c>
      <c r="AL148" s="24">
        <f t="shared" si="58"/>
        <v>0</v>
      </c>
      <c r="AM148" s="24">
        <f t="shared" si="59"/>
        <v>0</v>
      </c>
      <c r="AN148" s="24">
        <f t="shared" si="60"/>
        <v>4</v>
      </c>
      <c r="AO148" s="23">
        <f t="shared" si="62"/>
        <v>25.6</v>
      </c>
      <c r="AP148" s="24">
        <f t="shared" si="61"/>
        <v>23.9</v>
      </c>
    </row>
    <row r="149" spans="1:42" x14ac:dyDescent="0.25">
      <c r="A149" t="s">
        <v>370</v>
      </c>
      <c r="B149" t="s">
        <v>371</v>
      </c>
      <c r="C149" t="s">
        <v>27</v>
      </c>
      <c r="E149">
        <v>25</v>
      </c>
      <c r="F149">
        <v>0.02</v>
      </c>
      <c r="G149">
        <v>5</v>
      </c>
      <c r="H149">
        <v>6</v>
      </c>
      <c r="I149">
        <v>800</v>
      </c>
      <c r="J149">
        <v>1</v>
      </c>
      <c r="K149" t="s">
        <v>258</v>
      </c>
      <c r="L149" s="5" cm="1">
        <f t="array" ref="L149">INDEX(DataValidation!$B$2:$B$11, _xlfn.XMATCH(K149, DataValidation!$A$2:$A$11))</f>
        <v>2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2</v>
      </c>
      <c r="W149" s="23">
        <f t="shared" si="43"/>
        <v>0</v>
      </c>
      <c r="X149" s="24">
        <f t="shared" si="44"/>
        <v>3</v>
      </c>
      <c r="Y149" s="24">
        <f t="shared" si="45"/>
        <v>1.6</v>
      </c>
      <c r="Z149" s="24">
        <f t="shared" si="46"/>
        <v>1</v>
      </c>
      <c r="AA149" s="24">
        <f t="shared" si="47"/>
        <v>3</v>
      </c>
      <c r="AB149" s="24">
        <f t="shared" si="48"/>
        <v>2.666666666666667</v>
      </c>
      <c r="AC149" s="24">
        <f t="shared" si="49"/>
        <v>1</v>
      </c>
      <c r="AD149" s="24">
        <f t="shared" si="50"/>
        <v>2</v>
      </c>
      <c r="AE149" s="24">
        <f t="shared" si="51"/>
        <v>0</v>
      </c>
      <c r="AF149" s="24">
        <f t="shared" si="52"/>
        <v>1</v>
      </c>
      <c r="AG149" s="24">
        <f t="shared" si="53"/>
        <v>1</v>
      </c>
      <c r="AH149" s="24">
        <f t="shared" si="54"/>
        <v>1</v>
      </c>
      <c r="AI149" s="24">
        <f t="shared" si="55"/>
        <v>1</v>
      </c>
      <c r="AJ149" s="24">
        <f t="shared" si="56"/>
        <v>1</v>
      </c>
      <c r="AK149" s="24">
        <f t="shared" si="57"/>
        <v>0</v>
      </c>
      <c r="AL149" s="24">
        <f t="shared" si="58"/>
        <v>0</v>
      </c>
      <c r="AM149" s="24">
        <f t="shared" si="59"/>
        <v>0</v>
      </c>
      <c r="AN149" s="24">
        <f t="shared" si="60"/>
        <v>4</v>
      </c>
      <c r="AO149" s="23">
        <f t="shared" si="62"/>
        <v>23.3</v>
      </c>
      <c r="AP149" s="24">
        <f t="shared" si="61"/>
        <v>23.3</v>
      </c>
    </row>
    <row r="150" spans="1:42" x14ac:dyDescent="0.25">
      <c r="A150" t="s">
        <v>374</v>
      </c>
      <c r="B150" t="s">
        <v>375</v>
      </c>
      <c r="C150" t="s">
        <v>283</v>
      </c>
      <c r="E150">
        <v>80.599999999999994</v>
      </c>
      <c r="F150">
        <v>0.03</v>
      </c>
      <c r="G150">
        <v>35</v>
      </c>
      <c r="H150">
        <v>6</v>
      </c>
      <c r="I150">
        <v>1702</v>
      </c>
      <c r="J150">
        <v>1</v>
      </c>
      <c r="K150" t="s">
        <v>258</v>
      </c>
      <c r="L150" s="5" cm="1">
        <f t="array" ref="L150">INDEX(DataValidation!$B$2:$B$11, _xlfn.XMATCH(K150, DataValidation!$A$2:$A$11))</f>
        <v>2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2</v>
      </c>
      <c r="W150" s="23">
        <f t="shared" si="43"/>
        <v>0</v>
      </c>
      <c r="X150" s="24">
        <f t="shared" si="44"/>
        <v>0.77600000000000025</v>
      </c>
      <c r="Y150" s="24">
        <f t="shared" si="45"/>
        <v>1.4000000000000001</v>
      </c>
      <c r="Z150" s="24">
        <f t="shared" si="46"/>
        <v>7</v>
      </c>
      <c r="AA150" s="24">
        <f t="shared" si="47"/>
        <v>3</v>
      </c>
      <c r="AB150" s="24">
        <f t="shared" si="48"/>
        <v>5.6733333333333338</v>
      </c>
      <c r="AC150" s="24">
        <f t="shared" si="49"/>
        <v>1</v>
      </c>
      <c r="AD150" s="24">
        <f t="shared" si="50"/>
        <v>2</v>
      </c>
      <c r="AE150" s="24">
        <f t="shared" si="51"/>
        <v>0</v>
      </c>
      <c r="AF150" s="24">
        <f t="shared" si="52"/>
        <v>1</v>
      </c>
      <c r="AG150" s="24">
        <f t="shared" si="53"/>
        <v>1</v>
      </c>
      <c r="AH150" s="24">
        <f t="shared" si="54"/>
        <v>1</v>
      </c>
      <c r="AI150" s="24">
        <f t="shared" si="55"/>
        <v>1</v>
      </c>
      <c r="AJ150" s="24">
        <f t="shared" si="56"/>
        <v>0</v>
      </c>
      <c r="AK150" s="24">
        <f t="shared" si="57"/>
        <v>0</v>
      </c>
      <c r="AL150" s="24">
        <f t="shared" si="58"/>
        <v>0</v>
      </c>
      <c r="AM150" s="24">
        <f t="shared" si="59"/>
        <v>0</v>
      </c>
      <c r="AN150" s="24">
        <f t="shared" si="60"/>
        <v>4</v>
      </c>
      <c r="AO150" s="23">
        <f t="shared" si="62"/>
        <v>28.8</v>
      </c>
      <c r="AP150" s="24">
        <f t="shared" si="61"/>
        <v>28.8</v>
      </c>
    </row>
    <row r="151" spans="1:42" x14ac:dyDescent="0.25">
      <c r="A151" t="s">
        <v>376</v>
      </c>
      <c r="B151" t="s">
        <v>377</v>
      </c>
      <c r="C151" t="s">
        <v>27</v>
      </c>
      <c r="D151" s="5">
        <v>4900</v>
      </c>
      <c r="E151">
        <v>12.2</v>
      </c>
      <c r="F151">
        <v>0.1</v>
      </c>
      <c r="G151">
        <v>5</v>
      </c>
      <c r="H151">
        <v>6</v>
      </c>
      <c r="I151">
        <v>700</v>
      </c>
      <c r="J151">
        <v>1</v>
      </c>
      <c r="K151" t="s">
        <v>304</v>
      </c>
      <c r="L151" s="5" cm="1">
        <f t="array" ref="L151">INDEX(DataValidation!$B$2:$B$11, _xlfn.XMATCH(K151, DataValidation!$A$2:$A$11))</f>
        <v>3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2</v>
      </c>
      <c r="W151" s="23">
        <f t="shared" si="43"/>
        <v>6.0133333333333336</v>
      </c>
      <c r="X151" s="24">
        <f t="shared" si="44"/>
        <v>3.512</v>
      </c>
      <c r="Y151" s="24">
        <f t="shared" si="45"/>
        <v>0</v>
      </c>
      <c r="Z151" s="24">
        <f t="shared" si="46"/>
        <v>1</v>
      </c>
      <c r="AA151" s="24">
        <f t="shared" si="47"/>
        <v>3</v>
      </c>
      <c r="AB151" s="24">
        <f t="shared" si="48"/>
        <v>2.3333333333333335</v>
      </c>
      <c r="AC151" s="24">
        <f t="shared" si="49"/>
        <v>1</v>
      </c>
      <c r="AD151" s="24">
        <f t="shared" si="50"/>
        <v>3</v>
      </c>
      <c r="AE151" s="24">
        <f t="shared" si="51"/>
        <v>0</v>
      </c>
      <c r="AF151" s="24">
        <f t="shared" si="52"/>
        <v>1</v>
      </c>
      <c r="AG151" s="24">
        <f t="shared" si="53"/>
        <v>0</v>
      </c>
      <c r="AH151" s="24">
        <f t="shared" si="54"/>
        <v>1</v>
      </c>
      <c r="AI151" s="24">
        <f t="shared" si="55"/>
        <v>1</v>
      </c>
      <c r="AJ151" s="24">
        <f t="shared" si="56"/>
        <v>0</v>
      </c>
      <c r="AK151" s="24">
        <f t="shared" si="57"/>
        <v>0</v>
      </c>
      <c r="AL151" s="24">
        <f t="shared" si="58"/>
        <v>0.5</v>
      </c>
      <c r="AM151" s="24">
        <f t="shared" si="59"/>
        <v>0</v>
      </c>
      <c r="AN151" s="24">
        <f t="shared" si="60"/>
        <v>4</v>
      </c>
      <c r="AO151" s="23">
        <f t="shared" si="62"/>
        <v>27.4</v>
      </c>
      <c r="AP151" s="24">
        <f t="shared" si="61"/>
        <v>21.3</v>
      </c>
    </row>
    <row r="152" spans="1:42" x14ac:dyDescent="0.25">
      <c r="A152" t="s">
        <v>5</v>
      </c>
      <c r="B152" t="s">
        <v>89</v>
      </c>
      <c r="C152" t="s">
        <v>87</v>
      </c>
      <c r="D152" s="5">
        <v>27022</v>
      </c>
      <c r="E152">
        <v>11.2</v>
      </c>
      <c r="F152">
        <v>0.03</v>
      </c>
      <c r="G152">
        <v>3</v>
      </c>
      <c r="H152">
        <v>6</v>
      </c>
      <c r="I152">
        <v>500</v>
      </c>
      <c r="J152">
        <v>1</v>
      </c>
      <c r="K152" t="s">
        <v>294</v>
      </c>
      <c r="L152" s="5" cm="1">
        <f t="array" ref="L152">INDEX(DataValidation!$B$2:$B$11, _xlfn.XMATCH(K152, DataValidation!$A$2:$A$11))</f>
        <v>1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1</v>
      </c>
      <c r="U152">
        <v>0</v>
      </c>
      <c r="V152">
        <v>2</v>
      </c>
      <c r="W152" s="23">
        <f t="shared" si="43"/>
        <v>3.0637333333333334</v>
      </c>
      <c r="X152" s="24">
        <f t="shared" si="44"/>
        <v>3.552</v>
      </c>
      <c r="Y152" s="24">
        <f t="shared" si="45"/>
        <v>1.4000000000000001</v>
      </c>
      <c r="Z152" s="24">
        <f t="shared" si="46"/>
        <v>0.60000000000000009</v>
      </c>
      <c r="AA152" s="24">
        <f t="shared" si="47"/>
        <v>3</v>
      </c>
      <c r="AB152" s="24">
        <f t="shared" si="48"/>
        <v>1.6666666666666667</v>
      </c>
      <c r="AC152" s="24">
        <f t="shared" si="49"/>
        <v>1</v>
      </c>
      <c r="AD152" s="24">
        <f t="shared" si="50"/>
        <v>1</v>
      </c>
      <c r="AE152" s="24">
        <f t="shared" si="51"/>
        <v>0</v>
      </c>
      <c r="AF152" s="24">
        <f t="shared" si="52"/>
        <v>1</v>
      </c>
      <c r="AG152" s="24">
        <f t="shared" si="53"/>
        <v>1</v>
      </c>
      <c r="AH152" s="24">
        <f t="shared" si="54"/>
        <v>1</v>
      </c>
      <c r="AI152" s="24">
        <f t="shared" si="55"/>
        <v>1</v>
      </c>
      <c r="AJ152" s="24">
        <f t="shared" si="56"/>
        <v>1</v>
      </c>
      <c r="AK152" s="24">
        <f t="shared" si="57"/>
        <v>0</v>
      </c>
      <c r="AL152" s="24">
        <f t="shared" si="58"/>
        <v>0.5</v>
      </c>
      <c r="AM152" s="24">
        <f t="shared" si="59"/>
        <v>0</v>
      </c>
      <c r="AN152" s="24">
        <f t="shared" si="60"/>
        <v>4</v>
      </c>
      <c r="AO152" s="23">
        <f t="shared" si="62"/>
        <v>24.8</v>
      </c>
      <c r="AP152" s="24">
        <f t="shared" si="61"/>
        <v>21.7</v>
      </c>
    </row>
    <row r="153" spans="1:42" x14ac:dyDescent="0.25">
      <c r="A153" t="s">
        <v>5</v>
      </c>
      <c r="B153" t="s">
        <v>91</v>
      </c>
      <c r="C153" t="s">
        <v>87</v>
      </c>
      <c r="D153" s="5">
        <v>30619</v>
      </c>
      <c r="E153">
        <v>18.399999999999999</v>
      </c>
      <c r="F153">
        <v>0.03</v>
      </c>
      <c r="G153">
        <v>5</v>
      </c>
      <c r="H153">
        <v>6</v>
      </c>
      <c r="I153">
        <v>850</v>
      </c>
      <c r="J153">
        <v>1</v>
      </c>
      <c r="K153" t="s">
        <v>294</v>
      </c>
      <c r="L153" s="5" cm="1">
        <f t="array" ref="L153">INDEX(DataValidation!$B$2:$B$11, _xlfn.XMATCH(K153, DataValidation!$A$2:$A$11))</f>
        <v>1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1</v>
      </c>
      <c r="U153">
        <v>0</v>
      </c>
      <c r="V153">
        <v>2</v>
      </c>
      <c r="W153" s="23">
        <f t="shared" si="43"/>
        <v>2.5841333333333334</v>
      </c>
      <c r="X153" s="24">
        <f t="shared" si="44"/>
        <v>3.2639999999999998</v>
      </c>
      <c r="Y153" s="24">
        <f t="shared" si="45"/>
        <v>1.4000000000000001</v>
      </c>
      <c r="Z153" s="24">
        <f t="shared" si="46"/>
        <v>1</v>
      </c>
      <c r="AA153" s="24">
        <f t="shared" si="47"/>
        <v>3</v>
      </c>
      <c r="AB153" s="24">
        <f t="shared" si="48"/>
        <v>2.8333333333333335</v>
      </c>
      <c r="AC153" s="24">
        <f t="shared" si="49"/>
        <v>1</v>
      </c>
      <c r="AD153" s="24">
        <f t="shared" si="50"/>
        <v>1</v>
      </c>
      <c r="AE153" s="24">
        <f t="shared" si="51"/>
        <v>0</v>
      </c>
      <c r="AF153" s="24">
        <f t="shared" si="52"/>
        <v>1</v>
      </c>
      <c r="AG153" s="24">
        <f t="shared" si="53"/>
        <v>1</v>
      </c>
      <c r="AH153" s="24">
        <f t="shared" si="54"/>
        <v>1</v>
      </c>
      <c r="AI153" s="24">
        <f t="shared" si="55"/>
        <v>1</v>
      </c>
      <c r="AJ153" s="24">
        <f t="shared" si="56"/>
        <v>1</v>
      </c>
      <c r="AK153" s="24">
        <f t="shared" si="57"/>
        <v>0</v>
      </c>
      <c r="AL153" s="24">
        <f t="shared" si="58"/>
        <v>0.5</v>
      </c>
      <c r="AM153" s="24">
        <f t="shared" si="59"/>
        <v>0</v>
      </c>
      <c r="AN153" s="24">
        <f t="shared" si="60"/>
        <v>4</v>
      </c>
      <c r="AO153" s="23">
        <f t="shared" si="62"/>
        <v>25.6</v>
      </c>
      <c r="AP153" s="24">
        <f t="shared" si="61"/>
        <v>23</v>
      </c>
    </row>
    <row r="154" spans="1:42" x14ac:dyDescent="0.25">
      <c r="A154" t="s">
        <v>5</v>
      </c>
      <c r="B154" t="s">
        <v>93</v>
      </c>
      <c r="C154" t="s">
        <v>87</v>
      </c>
      <c r="D154" s="5">
        <v>39707</v>
      </c>
      <c r="E154">
        <v>33.5</v>
      </c>
      <c r="F154">
        <v>0.03</v>
      </c>
      <c r="G154">
        <v>12.5</v>
      </c>
      <c r="H154">
        <v>6</v>
      </c>
      <c r="I154">
        <v>1300</v>
      </c>
      <c r="J154">
        <v>1</v>
      </c>
      <c r="K154" t="s">
        <v>294</v>
      </c>
      <c r="L154" s="5" cm="1">
        <f t="array" ref="L154">INDEX(DataValidation!$B$2:$B$11, _xlfn.XMATCH(K154, DataValidation!$A$2:$A$11))</f>
        <v>1</v>
      </c>
      <c r="M154">
        <v>0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0</v>
      </c>
      <c r="V154">
        <v>2</v>
      </c>
      <c r="W154" s="23">
        <f t="shared" si="43"/>
        <v>1.3724000000000001</v>
      </c>
      <c r="X154" s="24">
        <f t="shared" si="44"/>
        <v>2.66</v>
      </c>
      <c r="Y154" s="24">
        <f t="shared" si="45"/>
        <v>1.4000000000000001</v>
      </c>
      <c r="Z154" s="24">
        <f t="shared" si="46"/>
        <v>2.5</v>
      </c>
      <c r="AA154" s="24">
        <f t="shared" si="47"/>
        <v>3</v>
      </c>
      <c r="AB154" s="24">
        <f t="shared" si="48"/>
        <v>4.3333333333333339</v>
      </c>
      <c r="AC154" s="24">
        <f t="shared" si="49"/>
        <v>1</v>
      </c>
      <c r="AD154" s="24">
        <f t="shared" si="50"/>
        <v>1</v>
      </c>
      <c r="AE154" s="24">
        <f t="shared" si="51"/>
        <v>0</v>
      </c>
      <c r="AF154" s="24">
        <f t="shared" si="52"/>
        <v>1</v>
      </c>
      <c r="AG154" s="24">
        <f t="shared" si="53"/>
        <v>1</v>
      </c>
      <c r="AH154" s="24">
        <f t="shared" si="54"/>
        <v>1</v>
      </c>
      <c r="AI154" s="24">
        <f t="shared" si="55"/>
        <v>1</v>
      </c>
      <c r="AJ154" s="24">
        <f t="shared" si="56"/>
        <v>1</v>
      </c>
      <c r="AK154" s="24">
        <f t="shared" si="57"/>
        <v>0</v>
      </c>
      <c r="AL154" s="24">
        <f t="shared" si="58"/>
        <v>0.5</v>
      </c>
      <c r="AM154" s="24">
        <f t="shared" si="59"/>
        <v>0</v>
      </c>
      <c r="AN154" s="24">
        <f t="shared" si="60"/>
        <v>4</v>
      </c>
      <c r="AO154" s="23">
        <f t="shared" si="62"/>
        <v>26.8</v>
      </c>
      <c r="AP154" s="24">
        <f t="shared" si="61"/>
        <v>25.4</v>
      </c>
    </row>
    <row r="155" spans="1:42" x14ac:dyDescent="0.25">
      <c r="A155" t="s">
        <v>5</v>
      </c>
      <c r="B155" t="s">
        <v>95</v>
      </c>
      <c r="C155" t="s">
        <v>87</v>
      </c>
      <c r="D155" s="5">
        <v>43495</v>
      </c>
      <c r="E155">
        <v>33.1</v>
      </c>
      <c r="F155">
        <v>0.05</v>
      </c>
      <c r="G155">
        <v>16</v>
      </c>
      <c r="H155">
        <v>6</v>
      </c>
      <c r="I155">
        <v>900</v>
      </c>
      <c r="J155">
        <v>1</v>
      </c>
      <c r="K155" t="s">
        <v>294</v>
      </c>
      <c r="L155" s="5" cm="1">
        <f t="array" ref="L155">INDEX(DataValidation!$B$2:$B$11, _xlfn.XMATCH(K155, DataValidation!$A$2:$A$11))</f>
        <v>1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2</v>
      </c>
      <c r="W155" s="23">
        <f t="shared" si="43"/>
        <v>0.8673333333333334</v>
      </c>
      <c r="X155" s="24">
        <f t="shared" si="44"/>
        <v>2.6760000000000002</v>
      </c>
      <c r="Y155" s="24">
        <f t="shared" si="45"/>
        <v>1</v>
      </c>
      <c r="Z155" s="24">
        <f t="shared" si="46"/>
        <v>3.2</v>
      </c>
      <c r="AA155" s="24">
        <f t="shared" si="47"/>
        <v>3</v>
      </c>
      <c r="AB155" s="24">
        <f t="shared" si="48"/>
        <v>3</v>
      </c>
      <c r="AC155" s="24">
        <f t="shared" si="49"/>
        <v>1</v>
      </c>
      <c r="AD155" s="24">
        <f t="shared" si="50"/>
        <v>1</v>
      </c>
      <c r="AE155" s="24">
        <f t="shared" si="51"/>
        <v>0</v>
      </c>
      <c r="AF155" s="24">
        <f t="shared" si="52"/>
        <v>1</v>
      </c>
      <c r="AG155" s="24">
        <f t="shared" si="53"/>
        <v>1</v>
      </c>
      <c r="AH155" s="24">
        <f t="shared" si="54"/>
        <v>1</v>
      </c>
      <c r="AI155" s="24">
        <f t="shared" si="55"/>
        <v>1</v>
      </c>
      <c r="AJ155" s="24">
        <f t="shared" si="56"/>
        <v>1</v>
      </c>
      <c r="AK155" s="24">
        <f t="shared" si="57"/>
        <v>0</v>
      </c>
      <c r="AL155" s="24">
        <f t="shared" si="58"/>
        <v>0.5</v>
      </c>
      <c r="AM155" s="24">
        <f t="shared" si="59"/>
        <v>0</v>
      </c>
      <c r="AN155" s="24">
        <f t="shared" si="60"/>
        <v>4</v>
      </c>
      <c r="AO155" s="23">
        <f t="shared" si="62"/>
        <v>25.2</v>
      </c>
      <c r="AP155" s="24">
        <f t="shared" si="61"/>
        <v>24.4</v>
      </c>
    </row>
    <row r="156" spans="1:42" x14ac:dyDescent="0.25">
      <c r="A156" t="s">
        <v>5</v>
      </c>
      <c r="B156" t="s">
        <v>97</v>
      </c>
      <c r="C156" t="s">
        <v>87</v>
      </c>
      <c r="D156" s="5">
        <v>54333</v>
      </c>
      <c r="E156">
        <v>64</v>
      </c>
      <c r="F156">
        <v>0.05</v>
      </c>
      <c r="G156">
        <v>25</v>
      </c>
      <c r="H156">
        <v>6</v>
      </c>
      <c r="I156">
        <v>1750</v>
      </c>
      <c r="J156">
        <v>1</v>
      </c>
      <c r="K156" t="s">
        <v>294</v>
      </c>
      <c r="L156" s="5" cm="1">
        <f t="array" ref="L156">INDEX(DataValidation!$B$2:$B$11, _xlfn.XMATCH(K156, DataValidation!$A$2:$A$11))</f>
        <v>1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2</v>
      </c>
      <c r="W156" s="23">
        <f t="shared" si="43"/>
        <v>-0.57773333333333332</v>
      </c>
      <c r="X156" s="24">
        <f t="shared" si="44"/>
        <v>1.44</v>
      </c>
      <c r="Y156" s="24">
        <f t="shared" si="45"/>
        <v>1</v>
      </c>
      <c r="Z156" s="24">
        <f t="shared" si="46"/>
        <v>5</v>
      </c>
      <c r="AA156" s="24">
        <f t="shared" si="47"/>
        <v>3</v>
      </c>
      <c r="AB156" s="24">
        <f t="shared" si="48"/>
        <v>5.8333333333333339</v>
      </c>
      <c r="AC156" s="24">
        <f t="shared" si="49"/>
        <v>1</v>
      </c>
      <c r="AD156" s="24">
        <f t="shared" si="50"/>
        <v>1</v>
      </c>
      <c r="AE156" s="24">
        <f t="shared" si="51"/>
        <v>0</v>
      </c>
      <c r="AF156" s="24">
        <f t="shared" si="52"/>
        <v>1</v>
      </c>
      <c r="AG156" s="24">
        <f t="shared" si="53"/>
        <v>1</v>
      </c>
      <c r="AH156" s="24">
        <f t="shared" si="54"/>
        <v>1</v>
      </c>
      <c r="AI156" s="24">
        <f t="shared" si="55"/>
        <v>1</v>
      </c>
      <c r="AJ156" s="24">
        <f t="shared" si="56"/>
        <v>1</v>
      </c>
      <c r="AK156" s="24">
        <f t="shared" si="57"/>
        <v>0</v>
      </c>
      <c r="AL156" s="24">
        <f t="shared" si="58"/>
        <v>0.5</v>
      </c>
      <c r="AM156" s="24">
        <f t="shared" si="59"/>
        <v>0</v>
      </c>
      <c r="AN156" s="24">
        <f t="shared" si="60"/>
        <v>4</v>
      </c>
      <c r="AO156" s="23">
        <f t="shared" si="62"/>
        <v>27.2</v>
      </c>
      <c r="AP156" s="24">
        <f t="shared" si="61"/>
        <v>27.8</v>
      </c>
    </row>
    <row r="157" spans="1:42" x14ac:dyDescent="0.25">
      <c r="A157" t="s">
        <v>5</v>
      </c>
      <c r="B157" t="s">
        <v>99</v>
      </c>
      <c r="C157" t="s">
        <v>87</v>
      </c>
      <c r="D157" s="5">
        <v>51495</v>
      </c>
      <c r="E157">
        <v>63.5</v>
      </c>
      <c r="F157">
        <v>0.1</v>
      </c>
      <c r="G157">
        <v>35</v>
      </c>
      <c r="H157">
        <v>6</v>
      </c>
      <c r="I157">
        <v>1300</v>
      </c>
      <c r="J157">
        <v>1</v>
      </c>
      <c r="K157" t="s">
        <v>294</v>
      </c>
      <c r="L157" s="5" cm="1">
        <f t="array" ref="L157">INDEX(DataValidation!$B$2:$B$11, _xlfn.XMATCH(K157, DataValidation!$A$2:$A$11))</f>
        <v>1</v>
      </c>
      <c r="M157">
        <v>0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1</v>
      </c>
      <c r="U157">
        <v>0</v>
      </c>
      <c r="V157">
        <v>2</v>
      </c>
      <c r="W157" s="23">
        <f t="shared" si="43"/>
        <v>-0.19933333333333333</v>
      </c>
      <c r="X157" s="24">
        <f t="shared" si="44"/>
        <v>1.46</v>
      </c>
      <c r="Y157" s="24">
        <f t="shared" si="45"/>
        <v>0</v>
      </c>
      <c r="Z157" s="24">
        <f t="shared" si="46"/>
        <v>7</v>
      </c>
      <c r="AA157" s="24">
        <f t="shared" si="47"/>
        <v>3</v>
      </c>
      <c r="AB157" s="24">
        <f t="shared" si="48"/>
        <v>4.3333333333333339</v>
      </c>
      <c r="AC157" s="24">
        <f t="shared" si="49"/>
        <v>1</v>
      </c>
      <c r="AD157" s="24">
        <f t="shared" si="50"/>
        <v>1</v>
      </c>
      <c r="AE157" s="24">
        <f t="shared" si="51"/>
        <v>0</v>
      </c>
      <c r="AF157" s="24">
        <f t="shared" si="52"/>
        <v>1</v>
      </c>
      <c r="AG157" s="24">
        <f t="shared" si="53"/>
        <v>1</v>
      </c>
      <c r="AH157" s="24">
        <f t="shared" si="54"/>
        <v>1</v>
      </c>
      <c r="AI157" s="24">
        <f t="shared" si="55"/>
        <v>1</v>
      </c>
      <c r="AJ157" s="24">
        <f t="shared" si="56"/>
        <v>1</v>
      </c>
      <c r="AK157" s="24">
        <f t="shared" si="57"/>
        <v>0</v>
      </c>
      <c r="AL157" s="24">
        <f t="shared" si="58"/>
        <v>0.5</v>
      </c>
      <c r="AM157" s="24">
        <f t="shared" si="59"/>
        <v>0</v>
      </c>
      <c r="AN157" s="24">
        <f t="shared" si="60"/>
        <v>4</v>
      </c>
      <c r="AO157" s="23">
        <f t="shared" si="62"/>
        <v>27.1</v>
      </c>
      <c r="AP157" s="24">
        <f t="shared" si="61"/>
        <v>27.3</v>
      </c>
    </row>
    <row r="158" spans="1:42" x14ac:dyDescent="0.25">
      <c r="A158" t="s">
        <v>6</v>
      </c>
      <c r="B158" t="s">
        <v>168</v>
      </c>
      <c r="C158" t="s">
        <v>54</v>
      </c>
      <c r="D158" s="5">
        <v>38120</v>
      </c>
      <c r="E158">
        <v>58</v>
      </c>
      <c r="F158">
        <v>0.05</v>
      </c>
      <c r="G158">
        <v>10</v>
      </c>
      <c r="H158">
        <v>6</v>
      </c>
      <c r="I158">
        <v>1379</v>
      </c>
      <c r="J158">
        <v>1</v>
      </c>
      <c r="K158" t="s">
        <v>294</v>
      </c>
      <c r="L158" s="5" cm="1">
        <f t="array" ref="L158">INDEX(DataValidation!$B$2:$B$11, _xlfn.XMATCH(K158, DataValidation!$A$2:$A$11))</f>
        <v>1</v>
      </c>
      <c r="M158">
        <v>0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2</v>
      </c>
      <c r="W158" s="23">
        <f t="shared" si="43"/>
        <v>1.5840000000000001</v>
      </c>
      <c r="X158" s="24">
        <f t="shared" si="44"/>
        <v>1.68</v>
      </c>
      <c r="Y158" s="24">
        <f t="shared" si="45"/>
        <v>1</v>
      </c>
      <c r="Z158" s="24">
        <f t="shared" si="46"/>
        <v>2</v>
      </c>
      <c r="AA158" s="24">
        <f t="shared" si="47"/>
        <v>3</v>
      </c>
      <c r="AB158" s="24">
        <f t="shared" si="48"/>
        <v>4.5966666666666667</v>
      </c>
      <c r="AC158" s="24">
        <f t="shared" si="49"/>
        <v>1</v>
      </c>
      <c r="AD158" s="24">
        <f t="shared" si="50"/>
        <v>1</v>
      </c>
      <c r="AE158" s="24">
        <f t="shared" si="51"/>
        <v>0</v>
      </c>
      <c r="AF158" s="24">
        <f t="shared" si="52"/>
        <v>1</v>
      </c>
      <c r="AG158" s="24">
        <f t="shared" si="53"/>
        <v>1</v>
      </c>
      <c r="AH158" s="24">
        <f t="shared" si="54"/>
        <v>1</v>
      </c>
      <c r="AI158" s="24">
        <f t="shared" si="55"/>
        <v>0</v>
      </c>
      <c r="AJ158" s="24">
        <f t="shared" si="56"/>
        <v>0</v>
      </c>
      <c r="AK158" s="24">
        <f t="shared" si="57"/>
        <v>0</v>
      </c>
      <c r="AL158" s="24">
        <f t="shared" si="58"/>
        <v>0.5</v>
      </c>
      <c r="AM158" s="24">
        <f t="shared" si="59"/>
        <v>0</v>
      </c>
      <c r="AN158" s="24">
        <f t="shared" si="60"/>
        <v>4</v>
      </c>
      <c r="AO158" s="23">
        <f t="shared" si="62"/>
        <v>23.4</v>
      </c>
      <c r="AP158" s="24">
        <f t="shared" si="61"/>
        <v>21.8</v>
      </c>
    </row>
    <row r="159" spans="1:42" x14ac:dyDescent="0.25">
      <c r="A159" t="s">
        <v>6</v>
      </c>
      <c r="B159" t="s">
        <v>169</v>
      </c>
      <c r="C159" t="s">
        <v>54</v>
      </c>
      <c r="E159">
        <v>58</v>
      </c>
      <c r="F159">
        <v>0.05</v>
      </c>
      <c r="G159">
        <v>10</v>
      </c>
      <c r="H159">
        <v>6</v>
      </c>
      <c r="I159">
        <v>1082</v>
      </c>
      <c r="J159">
        <v>1</v>
      </c>
      <c r="K159" t="s">
        <v>294</v>
      </c>
      <c r="L159" s="5" cm="1">
        <f t="array" ref="L159">INDEX(DataValidation!$B$2:$B$11, _xlfn.XMATCH(K159, DataValidation!$A$2:$A$11))</f>
        <v>1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2</v>
      </c>
      <c r="W159" s="23">
        <f t="shared" si="43"/>
        <v>0</v>
      </c>
      <c r="X159" s="24">
        <f t="shared" si="44"/>
        <v>1.68</v>
      </c>
      <c r="Y159" s="24">
        <f t="shared" si="45"/>
        <v>1</v>
      </c>
      <c r="Z159" s="24">
        <f t="shared" si="46"/>
        <v>2</v>
      </c>
      <c r="AA159" s="24">
        <f t="shared" si="47"/>
        <v>3</v>
      </c>
      <c r="AB159" s="24">
        <f t="shared" si="48"/>
        <v>3.6066666666666669</v>
      </c>
      <c r="AC159" s="24">
        <f t="shared" si="49"/>
        <v>1</v>
      </c>
      <c r="AD159" s="24">
        <f t="shared" si="50"/>
        <v>1</v>
      </c>
      <c r="AE159" s="24">
        <f t="shared" si="51"/>
        <v>0</v>
      </c>
      <c r="AF159" s="24">
        <f t="shared" si="52"/>
        <v>1</v>
      </c>
      <c r="AG159" s="24">
        <f t="shared" si="53"/>
        <v>0</v>
      </c>
      <c r="AH159" s="24">
        <f t="shared" si="54"/>
        <v>1</v>
      </c>
      <c r="AI159" s="24">
        <f t="shared" si="55"/>
        <v>0</v>
      </c>
      <c r="AJ159" s="24">
        <f t="shared" si="56"/>
        <v>0</v>
      </c>
      <c r="AK159" s="24">
        <f t="shared" si="57"/>
        <v>0</v>
      </c>
      <c r="AL159" s="24">
        <f t="shared" si="58"/>
        <v>0.5</v>
      </c>
      <c r="AM159" s="24">
        <f t="shared" si="59"/>
        <v>0</v>
      </c>
      <c r="AN159" s="24">
        <f t="shared" si="60"/>
        <v>4</v>
      </c>
      <c r="AO159" s="23">
        <f t="shared" si="62"/>
        <v>19.8</v>
      </c>
      <c r="AP159" s="24">
        <f t="shared" si="61"/>
        <v>19.8</v>
      </c>
    </row>
    <row r="160" spans="1:42" x14ac:dyDescent="0.25">
      <c r="A160" t="s">
        <v>6</v>
      </c>
      <c r="B160" t="s">
        <v>170</v>
      </c>
      <c r="C160" t="s">
        <v>54</v>
      </c>
      <c r="D160" s="5">
        <v>52220</v>
      </c>
      <c r="E160">
        <v>140</v>
      </c>
      <c r="F160">
        <v>0.05</v>
      </c>
      <c r="G160">
        <v>20</v>
      </c>
      <c r="H160">
        <v>6</v>
      </c>
      <c r="I160">
        <v>1900</v>
      </c>
      <c r="J160">
        <v>1</v>
      </c>
      <c r="K160" t="s">
        <v>294</v>
      </c>
      <c r="L160" s="5" cm="1">
        <f t="array" ref="L160">INDEX(DataValidation!$B$2:$B$11, _xlfn.XMATCH(K160, DataValidation!$A$2:$A$11))</f>
        <v>1</v>
      </c>
      <c r="M160">
        <v>0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2</v>
      </c>
      <c r="W160" s="23">
        <f t="shared" si="43"/>
        <v>-0.29600000000000004</v>
      </c>
      <c r="X160" s="24">
        <f t="shared" si="44"/>
        <v>-1.6</v>
      </c>
      <c r="Y160" s="24">
        <f t="shared" si="45"/>
        <v>1</v>
      </c>
      <c r="Z160" s="24">
        <f t="shared" si="46"/>
        <v>4</v>
      </c>
      <c r="AA160" s="24">
        <f t="shared" si="47"/>
        <v>3</v>
      </c>
      <c r="AB160" s="24">
        <f t="shared" si="48"/>
        <v>6.3333333333333339</v>
      </c>
      <c r="AC160" s="24">
        <f t="shared" si="49"/>
        <v>1</v>
      </c>
      <c r="AD160" s="24">
        <f t="shared" si="50"/>
        <v>1</v>
      </c>
      <c r="AE160" s="24">
        <f t="shared" si="51"/>
        <v>0</v>
      </c>
      <c r="AF160" s="24">
        <f t="shared" si="52"/>
        <v>1</v>
      </c>
      <c r="AG160" s="24">
        <f t="shared" si="53"/>
        <v>1</v>
      </c>
      <c r="AH160" s="24">
        <f t="shared" si="54"/>
        <v>1</v>
      </c>
      <c r="AI160" s="24">
        <f t="shared" si="55"/>
        <v>0</v>
      </c>
      <c r="AJ160" s="24">
        <f t="shared" si="56"/>
        <v>0</v>
      </c>
      <c r="AK160" s="24">
        <f t="shared" si="57"/>
        <v>0</v>
      </c>
      <c r="AL160" s="24">
        <f t="shared" si="58"/>
        <v>0.5</v>
      </c>
      <c r="AM160" s="24">
        <f t="shared" si="59"/>
        <v>0</v>
      </c>
      <c r="AN160" s="24">
        <f t="shared" si="60"/>
        <v>4</v>
      </c>
      <c r="AO160" s="23">
        <f t="shared" si="62"/>
        <v>21.9</v>
      </c>
      <c r="AP160" s="24">
        <f t="shared" si="61"/>
        <v>22.2</v>
      </c>
    </row>
    <row r="161" spans="1:42" x14ac:dyDescent="0.25">
      <c r="A161" t="s">
        <v>6</v>
      </c>
      <c r="B161" t="s">
        <v>171</v>
      </c>
      <c r="C161" t="s">
        <v>54</v>
      </c>
      <c r="E161">
        <v>97</v>
      </c>
      <c r="F161">
        <v>0.05</v>
      </c>
      <c r="G161">
        <v>20</v>
      </c>
      <c r="H161">
        <v>6</v>
      </c>
      <c r="I161">
        <v>1412</v>
      </c>
      <c r="J161">
        <v>1</v>
      </c>
      <c r="K161" t="s">
        <v>294</v>
      </c>
      <c r="L161" s="5" cm="1">
        <f t="array" ref="L161">INDEX(DataValidation!$B$2:$B$11, _xlfn.XMATCH(K161, DataValidation!$A$2:$A$11))</f>
        <v>1</v>
      </c>
      <c r="M161">
        <v>0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2</v>
      </c>
      <c r="W161" s="23">
        <f t="shared" si="43"/>
        <v>0</v>
      </c>
      <c r="X161" s="24">
        <f t="shared" si="44"/>
        <v>0.12</v>
      </c>
      <c r="Y161" s="24">
        <f t="shared" si="45"/>
        <v>1</v>
      </c>
      <c r="Z161" s="24">
        <f t="shared" si="46"/>
        <v>4</v>
      </c>
      <c r="AA161" s="24">
        <f t="shared" si="47"/>
        <v>3</v>
      </c>
      <c r="AB161" s="24">
        <f t="shared" si="48"/>
        <v>4.706666666666667</v>
      </c>
      <c r="AC161" s="24">
        <f t="shared" si="49"/>
        <v>1</v>
      </c>
      <c r="AD161" s="24">
        <f t="shared" si="50"/>
        <v>1</v>
      </c>
      <c r="AE161" s="24">
        <f t="shared" si="51"/>
        <v>0</v>
      </c>
      <c r="AF161" s="24">
        <f t="shared" si="52"/>
        <v>1</v>
      </c>
      <c r="AG161" s="24">
        <f t="shared" si="53"/>
        <v>1</v>
      </c>
      <c r="AH161" s="24">
        <f t="shared" si="54"/>
        <v>1</v>
      </c>
      <c r="AI161" s="24">
        <f t="shared" si="55"/>
        <v>0</v>
      </c>
      <c r="AJ161" s="24">
        <f t="shared" si="56"/>
        <v>0</v>
      </c>
      <c r="AK161" s="24">
        <f t="shared" si="57"/>
        <v>0</v>
      </c>
      <c r="AL161" s="24">
        <f t="shared" si="58"/>
        <v>0.5</v>
      </c>
      <c r="AM161" s="24">
        <f t="shared" si="59"/>
        <v>0</v>
      </c>
      <c r="AN161" s="24">
        <f t="shared" si="60"/>
        <v>4</v>
      </c>
      <c r="AO161" s="23">
        <f t="shared" si="62"/>
        <v>22.3</v>
      </c>
      <c r="AP161" s="24">
        <f t="shared" si="61"/>
        <v>22.3</v>
      </c>
    </row>
    <row r="162" spans="1:42" s="14" customFormat="1" x14ac:dyDescent="0.25">
      <c r="A162" s="14" t="s">
        <v>6</v>
      </c>
      <c r="B162" s="14" t="s">
        <v>172</v>
      </c>
      <c r="C162" s="14" t="s">
        <v>54</v>
      </c>
      <c r="D162" s="15"/>
      <c r="E162" s="14">
        <v>140</v>
      </c>
      <c r="F162" s="14">
        <v>0.05</v>
      </c>
      <c r="G162" s="14">
        <v>30</v>
      </c>
      <c r="H162" s="14">
        <v>6</v>
      </c>
      <c r="I162" s="14">
        <v>1700</v>
      </c>
      <c r="J162" s="14">
        <v>1</v>
      </c>
      <c r="K162" s="14" t="s">
        <v>294</v>
      </c>
      <c r="L162" s="15" cm="1">
        <f t="array" ref="L162">INDEX(DataValidation!$B$2:$B$11, _xlfn.XMATCH(K162, DataValidation!$A$2:$A$11))</f>
        <v>1</v>
      </c>
      <c r="M162" s="14">
        <v>0</v>
      </c>
      <c r="N162" s="14">
        <v>1</v>
      </c>
      <c r="O162" s="14">
        <v>1</v>
      </c>
      <c r="P162" s="14">
        <v>1</v>
      </c>
      <c r="Q162" s="14">
        <v>0</v>
      </c>
      <c r="R162" s="14">
        <v>0</v>
      </c>
      <c r="S162" s="14">
        <v>0</v>
      </c>
      <c r="T162" s="14">
        <v>1</v>
      </c>
      <c r="U162" s="14">
        <v>0</v>
      </c>
      <c r="V162" s="14">
        <v>2</v>
      </c>
      <c r="W162" s="26">
        <f t="shared" si="43"/>
        <v>0</v>
      </c>
      <c r="X162" s="27">
        <f t="shared" si="44"/>
        <v>-1.6</v>
      </c>
      <c r="Y162" s="27">
        <f t="shared" si="45"/>
        <v>1</v>
      </c>
      <c r="Z162" s="27">
        <f t="shared" si="46"/>
        <v>6</v>
      </c>
      <c r="AA162" s="27">
        <f t="shared" si="47"/>
        <v>3</v>
      </c>
      <c r="AB162" s="27">
        <f t="shared" si="48"/>
        <v>5.666666666666667</v>
      </c>
      <c r="AC162" s="27">
        <f t="shared" si="49"/>
        <v>1</v>
      </c>
      <c r="AD162" s="27">
        <f t="shared" si="50"/>
        <v>1</v>
      </c>
      <c r="AE162" s="27">
        <f t="shared" si="51"/>
        <v>0</v>
      </c>
      <c r="AF162" s="27">
        <f t="shared" si="52"/>
        <v>1</v>
      </c>
      <c r="AG162" s="27">
        <f t="shared" si="53"/>
        <v>1</v>
      </c>
      <c r="AH162" s="27">
        <f t="shared" si="54"/>
        <v>1</v>
      </c>
      <c r="AI162" s="27">
        <f t="shared" si="55"/>
        <v>0</v>
      </c>
      <c r="AJ162" s="27">
        <f t="shared" si="56"/>
        <v>0</v>
      </c>
      <c r="AK162" s="27">
        <f t="shared" si="57"/>
        <v>0</v>
      </c>
      <c r="AL162" s="27">
        <f t="shared" si="58"/>
        <v>0.5</v>
      </c>
      <c r="AM162" s="27">
        <f t="shared" si="59"/>
        <v>0</v>
      </c>
      <c r="AN162" s="27">
        <f t="shared" si="60"/>
        <v>4</v>
      </c>
      <c r="AO162" s="26">
        <f t="shared" si="62"/>
        <v>23.6</v>
      </c>
      <c r="AP162" s="27">
        <f t="shared" si="61"/>
        <v>23.6</v>
      </c>
    </row>
    <row r="163" spans="1:42" x14ac:dyDescent="0.25">
      <c r="C163" s="53" t="s">
        <v>389</v>
      </c>
      <c r="D163" s="47">
        <f>AVERAGE(D2:D162)</f>
        <v>28585.439655172413</v>
      </c>
      <c r="E163" s="39">
        <f t="shared" ref="E163:J163" si="63">AVERAGE(E2:E162)</f>
        <v>50.166875000000012</v>
      </c>
      <c r="F163" s="39">
        <f t="shared" si="63"/>
        <v>7.1379746835442986E-2</v>
      </c>
      <c r="G163" s="39">
        <f t="shared" si="63"/>
        <v>10.953125</v>
      </c>
      <c r="H163" s="39">
        <f t="shared" si="63"/>
        <v>6.0062893081761004</v>
      </c>
      <c r="I163" s="39">
        <f t="shared" si="63"/>
        <v>1095.738113207547</v>
      </c>
      <c r="J163" s="39">
        <f t="shared" si="63"/>
        <v>1.0248447204968945</v>
      </c>
      <c r="L163" s="48">
        <f>AVERAGE(L2:L162)</f>
        <v>1.8012422360248448</v>
      </c>
      <c r="M163">
        <f>SUM(M2:M162)</f>
        <v>35</v>
      </c>
      <c r="N163">
        <f>SUM(N2:N162)</f>
        <v>156</v>
      </c>
      <c r="O163">
        <f t="shared" ref="O163:T163" si="64">SUM(O2:O162)</f>
        <v>64</v>
      </c>
      <c r="P163">
        <f t="shared" si="64"/>
        <v>125</v>
      </c>
      <c r="Q163">
        <f t="shared" si="64"/>
        <v>143</v>
      </c>
      <c r="R163">
        <f t="shared" si="64"/>
        <v>77</v>
      </c>
      <c r="S163">
        <f t="shared" si="64"/>
        <v>26</v>
      </c>
      <c r="T163">
        <f t="shared" si="64"/>
        <v>80</v>
      </c>
      <c r="U163" s="30">
        <f t="shared" ref="U163:V163" si="65">AVERAGE(U2:U162)</f>
        <v>2.7950310559006212E-2</v>
      </c>
      <c r="V163" s="30">
        <f t="shared" si="65"/>
        <v>1.9254658385093169</v>
      </c>
      <c r="AO163" s="23">
        <f>AVERAGE(AO2:AO162)</f>
        <v>24.142236024844731</v>
      </c>
    </row>
    <row r="164" spans="1:42" x14ac:dyDescent="0.25">
      <c r="C164" s="53" t="s">
        <v>391</v>
      </c>
      <c r="D164" s="42">
        <f>MEDIAN(D2:D162)</f>
        <v>28107.5</v>
      </c>
      <c r="E164" s="40">
        <f t="shared" ref="E164:J164" si="66">MEDIAN(E2:E162)</f>
        <v>33.5</v>
      </c>
      <c r="F164" s="40">
        <f t="shared" si="66"/>
        <v>0.03</v>
      </c>
      <c r="G164" s="40">
        <f t="shared" si="66"/>
        <v>8</v>
      </c>
      <c r="H164" s="40">
        <f t="shared" si="66"/>
        <v>6</v>
      </c>
      <c r="I164" s="40">
        <f t="shared" si="66"/>
        <v>967.5</v>
      </c>
      <c r="J164" s="40">
        <f t="shared" si="66"/>
        <v>1</v>
      </c>
      <c r="L164" s="28">
        <f>MEDIAN(L2:L162)</f>
        <v>2</v>
      </c>
      <c r="M164" s="55">
        <f>ROUND(M163/RawCobots!$D182,3)</f>
        <v>0.217</v>
      </c>
      <c r="N164" s="55">
        <f>ROUND(N163/RawCobots!$D182,3)</f>
        <v>0.96899999999999997</v>
      </c>
      <c r="O164" s="55">
        <f>ROUND(O163/RawCobots!$D182,3)</f>
        <v>0.39800000000000002</v>
      </c>
      <c r="P164" s="55">
        <f>ROUND(P163/RawCobots!$D182,3)</f>
        <v>0.77600000000000002</v>
      </c>
      <c r="Q164" s="55">
        <f>ROUND(Q163/RawCobots!$D182,3)</f>
        <v>0.88800000000000001</v>
      </c>
      <c r="R164" s="55">
        <f>ROUND(R163/RawCobots!$D182,3)</f>
        <v>0.47799999999999998</v>
      </c>
      <c r="S164" s="55">
        <f>ROUND(S163/RawCobots!$D182,3)</f>
        <v>0.161</v>
      </c>
      <c r="T164" s="55">
        <f>ROUND(T163/RawCobots!$D182,3)</f>
        <v>0.497</v>
      </c>
      <c r="U164" s="29">
        <f t="shared" ref="U164:V164" si="67">MEDIAN(U2:U162)</f>
        <v>0</v>
      </c>
      <c r="V164" s="29">
        <f t="shared" si="67"/>
        <v>2</v>
      </c>
      <c r="AO164" s="23">
        <f>MEDIAN(AO2:AO162)</f>
        <v>25</v>
      </c>
    </row>
    <row r="165" spans="1:42" x14ac:dyDescent="0.25">
      <c r="C165" s="53" t="s">
        <v>390</v>
      </c>
      <c r="D165" s="42">
        <f>_xlfn.MODE.SNGL(D2:D162)</f>
        <v>37500</v>
      </c>
      <c r="E165" s="37">
        <f t="shared" ref="E165:J165" si="68">_xlfn.MODE.SNGL(E2:E162)</f>
        <v>23</v>
      </c>
      <c r="F165" s="40">
        <f t="shared" si="68"/>
        <v>0.02</v>
      </c>
      <c r="G165" s="37">
        <f t="shared" si="68"/>
        <v>5</v>
      </c>
      <c r="H165" s="37">
        <f t="shared" si="68"/>
        <v>6</v>
      </c>
      <c r="I165" s="37">
        <f t="shared" si="68"/>
        <v>1300</v>
      </c>
      <c r="J165" s="37">
        <f t="shared" si="68"/>
        <v>1</v>
      </c>
      <c r="L165" s="5">
        <f>_xlfn.MODE.SNGL(L2:L162)</f>
        <v>1</v>
      </c>
      <c r="U165">
        <f t="shared" ref="U165:V165" si="69">_xlfn.MODE.SNGL(U2:U162)</f>
        <v>0</v>
      </c>
      <c r="V165">
        <f t="shared" si="69"/>
        <v>2</v>
      </c>
      <c r="AO165" s="5">
        <f>_xlfn.MODE.SNGL(AO2:AO162)</f>
        <v>24.8</v>
      </c>
    </row>
    <row r="166" spans="1:42" x14ac:dyDescent="0.25">
      <c r="C166" s="53" t="s">
        <v>392</v>
      </c>
      <c r="D166" s="42">
        <f>MIN(D$2:D$162)</f>
        <v>2900</v>
      </c>
      <c r="E166" s="37">
        <f t="shared" ref="E166:J166" si="70">MIN(E$2:E$162)</f>
        <v>4</v>
      </c>
      <c r="F166" s="40">
        <f t="shared" si="70"/>
        <v>0.01</v>
      </c>
      <c r="G166" s="37">
        <f t="shared" si="70"/>
        <v>0.5</v>
      </c>
      <c r="H166" s="37">
        <f t="shared" si="70"/>
        <v>4</v>
      </c>
      <c r="I166" s="37">
        <f t="shared" si="70"/>
        <v>343</v>
      </c>
      <c r="J166" s="37">
        <f t="shared" si="70"/>
        <v>1</v>
      </c>
      <c r="AO166" s="23"/>
    </row>
    <row r="167" spans="1:42" s="14" customFormat="1" x14ac:dyDescent="0.25">
      <c r="C167" s="54" t="s">
        <v>393</v>
      </c>
      <c r="D167" s="43">
        <f>MAX(D$2:D$162)</f>
        <v>54333</v>
      </c>
      <c r="E167" s="38">
        <f t="shared" ref="E167:J167" si="71">MAX(E$2:E$162)</f>
        <v>1615</v>
      </c>
      <c r="F167" s="58">
        <f t="shared" si="71"/>
        <v>1</v>
      </c>
      <c r="G167" s="38">
        <f t="shared" si="71"/>
        <v>170</v>
      </c>
      <c r="H167" s="38">
        <f t="shared" si="71"/>
        <v>7</v>
      </c>
      <c r="I167" s="38">
        <f t="shared" si="71"/>
        <v>2790</v>
      </c>
      <c r="J167" s="38">
        <f t="shared" si="71"/>
        <v>2</v>
      </c>
      <c r="L167" s="15"/>
      <c r="W167" s="26"/>
      <c r="X167" s="27"/>
      <c r="AO167" s="26"/>
    </row>
    <row r="168" spans="1:42" x14ac:dyDescent="0.25">
      <c r="B168" t="s">
        <v>423</v>
      </c>
      <c r="C168" s="53" t="s">
        <v>392</v>
      </c>
      <c r="D168" s="52" t="str">
        <f>_xlfn.XLOOKUP(D166,D2:D162,$B2:$B162)</f>
        <v>ReBeL-4DOF-OS</v>
      </c>
      <c r="E168" s="32" t="str">
        <f t="shared" ref="E168:I168" si="72">_xlfn.XLOOKUP(E166,E2:E162,$B2:$B162)</f>
        <v>COBOTTA</v>
      </c>
      <c r="F168" s="32" t="str">
        <f t="shared" si="72"/>
        <v>SWIFTI CRB 1100-4/0.58</v>
      </c>
      <c r="G168" s="32" t="str">
        <f t="shared" si="72"/>
        <v>YuMi IRB 14050</v>
      </c>
      <c r="H168" s="32" t="str">
        <f t="shared" si="72"/>
        <v>PreciseFlex DDR 4</v>
      </c>
      <c r="I168" s="32" t="str">
        <f t="shared" si="72"/>
        <v>COBOTTA</v>
      </c>
      <c r="J168" s="32"/>
      <c r="V168" t="s">
        <v>183</v>
      </c>
      <c r="W168" s="45">
        <f>ScoringCriteria!$B$3</f>
        <v>1.3333333333333334E-4</v>
      </c>
      <c r="X168" s="29">
        <f>ScoringCriteria!$B$4</f>
        <v>0.04</v>
      </c>
      <c r="Y168">
        <f>ScoringCriteria!$B$5</f>
        <v>20</v>
      </c>
      <c r="Z168">
        <f>ScoringCriteria!$B$6</f>
        <v>0.2</v>
      </c>
      <c r="AA168">
        <f>ScoringCriteria!$B$7</f>
        <v>0.5</v>
      </c>
      <c r="AB168">
        <f>ScoringCriteria!$B$8</f>
        <v>3.3333333333333335E-3</v>
      </c>
      <c r="AC168" s="32">
        <f>ScoringCriteria!$B$9</f>
        <v>1</v>
      </c>
      <c r="AD168" s="32">
        <f>ScoringCriteria!$B$10</f>
        <v>1</v>
      </c>
      <c r="AE168" s="32">
        <f>ScoringCriteria!$B$11</f>
        <v>1</v>
      </c>
      <c r="AF168" s="32">
        <f>ScoringCriteria!$B$12</f>
        <v>1</v>
      </c>
      <c r="AG168" s="32">
        <f>ScoringCriteria!$B$13</f>
        <v>1</v>
      </c>
      <c r="AH168" s="32">
        <f>ScoringCriteria!$B$14</f>
        <v>1</v>
      </c>
      <c r="AI168" s="32">
        <f>ScoringCriteria!$B$15</f>
        <v>1</v>
      </c>
      <c r="AJ168" s="32">
        <f>ScoringCriteria!$B$16</f>
        <v>1</v>
      </c>
      <c r="AK168" s="32">
        <f>ScoringCriteria!$B$17</f>
        <v>0.5</v>
      </c>
      <c r="AL168" s="32">
        <f>ScoringCriteria!$B$18</f>
        <v>0.5</v>
      </c>
      <c r="AM168" s="32">
        <f>ScoringCriteria!$B$19</f>
        <v>2</v>
      </c>
      <c r="AN168" s="31">
        <f>ScoringCriteria!$B$20</f>
        <v>2</v>
      </c>
      <c r="AP168" t="s">
        <v>436</v>
      </c>
    </row>
    <row r="169" spans="1:42" x14ac:dyDescent="0.25">
      <c r="C169" s="53" t="s">
        <v>422</v>
      </c>
      <c r="D169" s="5" t="str">
        <f>_xlfn.XLOOKUP(D163,D2:D162,$B2:$B162,,-1)</f>
        <v>CS612</v>
      </c>
      <c r="E169" t="str">
        <f t="shared" ref="E169:I169" si="73">_xlfn.XLOOKUP(E163,E2:E162,$B2:$B162,,-1)</f>
        <v>GoFa CRB 15000 - 10kg</v>
      </c>
      <c r="F169" t="str">
        <f t="shared" si="73"/>
        <v>CS620</v>
      </c>
      <c r="G169" t="str">
        <f t="shared" si="73"/>
        <v>GoFa CRB 15000 - 10kg</v>
      </c>
      <c r="H169" t="str">
        <f t="shared" si="73"/>
        <v>GoFa CRB 15000 - 5kg</v>
      </c>
      <c r="I169" t="str">
        <f t="shared" si="73"/>
        <v>MOTOMAN-HC10DTFP</v>
      </c>
      <c r="V169" t="s">
        <v>412</v>
      </c>
      <c r="W169" s="41" t="s">
        <v>239</v>
      </c>
      <c r="X169" s="46" t="s">
        <v>239</v>
      </c>
      <c r="Y169" s="46" t="s">
        <v>239</v>
      </c>
      <c r="Z169" s="46" t="s">
        <v>239</v>
      </c>
      <c r="AA169" s="46" t="s">
        <v>239</v>
      </c>
      <c r="AB169" s="46" t="s">
        <v>239</v>
      </c>
      <c r="AC169" s="46" t="s">
        <v>239</v>
      </c>
      <c r="AD169" s="46" t="s">
        <v>239</v>
      </c>
      <c r="AE169" s="46" t="s">
        <v>239</v>
      </c>
      <c r="AF169" s="46" t="s">
        <v>239</v>
      </c>
      <c r="AG169" s="46" t="s">
        <v>239</v>
      </c>
      <c r="AH169" s="46" t="s">
        <v>239</v>
      </c>
      <c r="AI169" s="46" t="s">
        <v>239</v>
      </c>
      <c r="AJ169" s="46" t="s">
        <v>239</v>
      </c>
      <c r="AK169" s="46" t="s">
        <v>239</v>
      </c>
      <c r="AL169" s="46" t="s">
        <v>239</v>
      </c>
      <c r="AM169" s="46" t="s">
        <v>239</v>
      </c>
      <c r="AN169" s="46" t="s">
        <v>239</v>
      </c>
      <c r="AP169" s="29">
        <f>CORREL(AP2:AP162,D2:D162)</f>
        <v>0.4973176853215876</v>
      </c>
    </row>
    <row r="170" spans="1:42" x14ac:dyDescent="0.25">
      <c r="C170" s="53" t="s">
        <v>393</v>
      </c>
      <c r="D170" s="5" t="str">
        <f>_xlfn.XLOOKUP(D167,D2:D162,$B2:$B162)</f>
        <v>UR20</v>
      </c>
      <c r="E170" t="str">
        <f t="shared" ref="E170:J170" si="74">_xlfn.XLOOKUP(E167,E2:E162,$B2:$B162)</f>
        <v>Aura</v>
      </c>
      <c r="F170" t="str">
        <f t="shared" si="74"/>
        <v>ReBeL-4DOF-02</v>
      </c>
      <c r="G170" t="str">
        <f t="shared" si="74"/>
        <v>Aura</v>
      </c>
      <c r="H170" t="str">
        <f t="shared" si="74"/>
        <v>YuMi IRB 14050</v>
      </c>
      <c r="I170" t="str">
        <f t="shared" si="74"/>
        <v>Aura</v>
      </c>
      <c r="J170" t="str">
        <f t="shared" si="74"/>
        <v>YuMi IRB 14000</v>
      </c>
      <c r="V170" t="s">
        <v>404</v>
      </c>
      <c r="W170" s="44">
        <f>ScoringCriteria!C3</f>
        <v>50000</v>
      </c>
      <c r="X170" s="24">
        <f>ScoringCriteria!C4</f>
        <v>100</v>
      </c>
      <c r="Y170">
        <f>ScoringCriteria!C5</f>
        <v>0.1</v>
      </c>
    </row>
    <row r="172" spans="1:42" x14ac:dyDescent="0.25">
      <c r="C172" s="53" t="s">
        <v>448</v>
      </c>
      <c r="D172" s="5">
        <f>SMALL(D2:D162,2)</f>
        <v>4200</v>
      </c>
      <c r="E172">
        <f>SMALL(E2:E162,2)</f>
        <v>5.4</v>
      </c>
      <c r="F172">
        <f t="shared" ref="F172:I172" si="75">SMALL(F2:F162,2)</f>
        <v>0.01</v>
      </c>
      <c r="G172">
        <f t="shared" si="75"/>
        <v>0.5</v>
      </c>
      <c r="H172">
        <f t="shared" si="75"/>
        <v>4</v>
      </c>
      <c r="I172">
        <f t="shared" si="75"/>
        <v>495</v>
      </c>
    </row>
    <row r="173" spans="1:42" x14ac:dyDescent="0.25">
      <c r="C173" s="53" t="s">
        <v>449</v>
      </c>
      <c r="D173" s="5">
        <f>LARGE(D2:D162,2)</f>
        <v>52900</v>
      </c>
      <c r="E173">
        <f>LARGE(E2:E162,2)</f>
        <v>220</v>
      </c>
      <c r="F173">
        <f t="shared" ref="F173:I173" si="76">LARGE(F2:F162,2)</f>
        <v>1</v>
      </c>
      <c r="G173">
        <f t="shared" si="76"/>
        <v>35</v>
      </c>
      <c r="H173">
        <f t="shared" si="76"/>
        <v>7</v>
      </c>
      <c r="I173">
        <f t="shared" si="76"/>
        <v>1902</v>
      </c>
    </row>
  </sheetData>
  <conditionalFormatting sqref="B1:C1 B2:B10 B11:C162">
    <cfRule type="expression" dxfId="7" priority="30">
      <formula>#REF!="Y"</formula>
    </cfRule>
  </conditionalFormatting>
  <conditionalFormatting sqref="Y2:AN162">
    <cfRule type="expression" dxfId="6" priority="2">
      <formula>$C2="NA"</formula>
    </cfRule>
  </conditionalFormatting>
  <conditionalFormatting sqref="AO169:AO1048576 AO1:AO162 AO166:AO1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E46322-F900-4DB8-B082-67C896DF9043}">
          <x14:formula1>
            <xm:f>DataValidation!$A$2:$A$11</xm:f>
          </x14:formula1>
          <xm:sqref>K2:K162</xm:sqref>
        </x14:dataValidation>
        <x14:dataValidation type="list" allowBlank="1" showInputMessage="1" showErrorMessage="1" xr:uid="{85E6E566-34C2-46DE-B8B3-9C2AD603C8EF}">
          <x14:formula1>
            <xm:f>DataValidation!$C$2:$C$3</xm:f>
          </x14:formula1>
          <xm:sqref>W169:AN169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80A1-B384-401B-A890-CDE62F9DE33C}">
  <sheetPr>
    <tabColor theme="5" tint="0.59999389629810485"/>
  </sheetPr>
  <dimension ref="A1:P162"/>
  <sheetViews>
    <sheetView workbookViewId="0">
      <selection activeCell="A14" sqref="A14"/>
    </sheetView>
  </sheetViews>
  <sheetFormatPr defaultColWidth="9.140625" defaultRowHeight="15" x14ac:dyDescent="0.25"/>
  <cols>
    <col min="2" max="2" width="8" style="24" bestFit="1" customWidth="1"/>
    <col min="3" max="3" width="24.28515625" style="5" bestFit="1" customWidth="1"/>
    <col min="4" max="4" width="22.85546875" bestFit="1" customWidth="1"/>
    <col min="5" max="5" width="16.5703125" customWidth="1"/>
    <col min="7" max="7" width="10.42578125" bestFit="1" customWidth="1"/>
  </cols>
  <sheetData>
    <row r="1" spans="1:16" s="2" customFormat="1" ht="15.75" thickBot="1" x14ac:dyDescent="0.3">
      <c r="A1" s="2" t="s">
        <v>388</v>
      </c>
      <c r="B1" s="25" t="s">
        <v>387</v>
      </c>
      <c r="C1" s="6" t="s">
        <v>0</v>
      </c>
      <c r="D1" s="2" t="s">
        <v>1</v>
      </c>
      <c r="E1" s="2" t="s">
        <v>8</v>
      </c>
      <c r="F1" s="2" t="s">
        <v>185</v>
      </c>
      <c r="G1" s="2" t="s">
        <v>426</v>
      </c>
      <c r="J1" s="61" t="s">
        <v>439</v>
      </c>
      <c r="K1" s="61"/>
      <c r="L1" s="61"/>
      <c r="M1" s="61"/>
      <c r="N1" s="61"/>
      <c r="O1" s="61"/>
      <c r="P1" s="61"/>
    </row>
    <row r="2" spans="1:16" x14ac:dyDescent="0.25">
      <c r="A2">
        <f>_xlfn.RANK.EQ(B2,$B$2:$B$162)</f>
        <v>1</v>
      </c>
      <c r="B2" s="24" cm="1">
        <f t="array" ref="B2:B162">_xlfn.SORTBY(Scores!AO2:AO162,Scores!AO2:AO162,-1)</f>
        <v>30.8</v>
      </c>
      <c r="C2" s="5" t="str" cm="1">
        <f t="array" ref="C2:F162">_xlfn.SORTBY(Scores!A2:D162,Scores!AO2:AO162,-1)</f>
        <v>JAKA</v>
      </c>
      <c r="D2" t="str">
        <v>Ai 18</v>
      </c>
      <c r="E2" t="str">
        <v>Germany</v>
      </c>
      <c r="F2">
        <v>26450</v>
      </c>
      <c r="G2" s="24">
        <f t="shared" ref="G2:G33" si="0">B2-$B$2</f>
        <v>0</v>
      </c>
    </row>
    <row r="3" spans="1:16" x14ac:dyDescent="0.25">
      <c r="A3">
        <f t="shared" ref="A3:A66" si="1">_xlfn.RANK.EQ(B3,$B$2:$B$162)</f>
        <v>2</v>
      </c>
      <c r="B3" s="24">
        <v>30.3</v>
      </c>
      <c r="C3" s="5" t="str">
        <v>JAKA</v>
      </c>
      <c r="D3" t="str">
        <v>Ai 12</v>
      </c>
      <c r="E3" t="str">
        <v>Germany</v>
      </c>
      <c r="F3">
        <v>25440</v>
      </c>
      <c r="G3" s="24">
        <f t="shared" si="0"/>
        <v>-0.5</v>
      </c>
    </row>
    <row r="4" spans="1:16" x14ac:dyDescent="0.25">
      <c r="A4">
        <f t="shared" si="1"/>
        <v>3</v>
      </c>
      <c r="B4" s="24">
        <v>30.2</v>
      </c>
      <c r="C4" s="5" t="str">
        <v>JAKA</v>
      </c>
      <c r="D4" t="str">
        <v>Zu 18s</v>
      </c>
      <c r="E4" t="str">
        <v>Germany</v>
      </c>
      <c r="F4">
        <v>31310</v>
      </c>
      <c r="G4" s="24">
        <f t="shared" si="0"/>
        <v>-0.60000000000000142</v>
      </c>
    </row>
    <row r="5" spans="1:16" x14ac:dyDescent="0.25">
      <c r="A5">
        <f t="shared" si="1"/>
        <v>4</v>
      </c>
      <c r="B5" s="24">
        <v>30.1</v>
      </c>
      <c r="C5" s="5" t="str">
        <v>JAKA</v>
      </c>
      <c r="D5" t="str">
        <v>Zu 18</v>
      </c>
      <c r="E5" t="str">
        <v>Germany</v>
      </c>
      <c r="F5">
        <v>24500</v>
      </c>
      <c r="G5" s="24">
        <f t="shared" si="0"/>
        <v>-0.69999999999999929</v>
      </c>
    </row>
    <row r="6" spans="1:16" x14ac:dyDescent="0.25">
      <c r="A6">
        <f t="shared" si="1"/>
        <v>5</v>
      </c>
      <c r="B6" s="24">
        <v>30</v>
      </c>
      <c r="C6" s="5" t="str">
        <v>Elite Robots</v>
      </c>
      <c r="D6" t="str">
        <v>EC612</v>
      </c>
      <c r="E6" t="str">
        <v>China</v>
      </c>
      <c r="F6">
        <v>23205</v>
      </c>
      <c r="G6" s="24">
        <f t="shared" si="0"/>
        <v>-0.80000000000000071</v>
      </c>
    </row>
    <row r="7" spans="1:16" x14ac:dyDescent="0.25">
      <c r="A7">
        <f t="shared" si="1"/>
        <v>5</v>
      </c>
      <c r="B7" s="24">
        <v>30</v>
      </c>
      <c r="C7" s="5" t="str">
        <v>JAKA</v>
      </c>
      <c r="D7" t="str">
        <v>Pro 16</v>
      </c>
      <c r="E7" t="str">
        <v>Germany</v>
      </c>
      <c r="F7">
        <v>26710</v>
      </c>
      <c r="G7" s="24">
        <f t="shared" si="0"/>
        <v>-0.80000000000000071</v>
      </c>
    </row>
    <row r="8" spans="1:16" x14ac:dyDescent="0.25">
      <c r="A8">
        <f t="shared" si="1"/>
        <v>7</v>
      </c>
      <c r="B8" s="24">
        <v>29.8</v>
      </c>
      <c r="C8" s="5" t="str">
        <v>JAKA</v>
      </c>
      <c r="D8" t="str">
        <v>Pro 12</v>
      </c>
      <c r="E8" t="str">
        <v>Germany</v>
      </c>
      <c r="F8">
        <v>23560</v>
      </c>
      <c r="G8" s="24">
        <f t="shared" si="0"/>
        <v>-1</v>
      </c>
    </row>
    <row r="9" spans="1:16" x14ac:dyDescent="0.25">
      <c r="A9">
        <f t="shared" si="1"/>
        <v>8</v>
      </c>
      <c r="B9" s="24">
        <v>29.7</v>
      </c>
      <c r="C9" s="5" t="str">
        <v>Elite Robots</v>
      </c>
      <c r="D9" t="str">
        <v>EC616</v>
      </c>
      <c r="E9" t="str">
        <v>China</v>
      </c>
      <c r="F9">
        <v>25800</v>
      </c>
      <c r="G9" s="24">
        <f t="shared" si="0"/>
        <v>-1.1000000000000014</v>
      </c>
    </row>
    <row r="10" spans="1:16" x14ac:dyDescent="0.25">
      <c r="A10">
        <f t="shared" si="1"/>
        <v>8</v>
      </c>
      <c r="B10" s="24">
        <v>29.7</v>
      </c>
      <c r="C10" s="5" t="str">
        <v>JAKA</v>
      </c>
      <c r="D10" t="str">
        <v>Zu 12s</v>
      </c>
      <c r="E10" t="str">
        <v>Germany</v>
      </c>
      <c r="F10">
        <v>30300</v>
      </c>
      <c r="G10" s="24">
        <f t="shared" si="0"/>
        <v>-1.1000000000000014</v>
      </c>
    </row>
    <row r="11" spans="1:16" x14ac:dyDescent="0.25">
      <c r="A11">
        <f t="shared" si="1"/>
        <v>10</v>
      </c>
      <c r="B11" s="24">
        <v>29.6</v>
      </c>
      <c r="C11" s="5" t="str">
        <v>AUBO Robotics</v>
      </c>
      <c r="D11" t="str">
        <v>AUBO i20</v>
      </c>
      <c r="E11" t="str">
        <v>USA</v>
      </c>
      <c r="F11">
        <v>30000</v>
      </c>
      <c r="G11" s="24">
        <f t="shared" si="0"/>
        <v>-1.1999999999999993</v>
      </c>
    </row>
    <row r="12" spans="1:16" x14ac:dyDescent="0.25">
      <c r="A12">
        <f t="shared" si="1"/>
        <v>10</v>
      </c>
      <c r="B12" s="24">
        <v>29.6</v>
      </c>
      <c r="C12" s="5" t="str">
        <v>JAKA</v>
      </c>
      <c r="D12" t="str">
        <v>Zu 12</v>
      </c>
      <c r="E12" t="str">
        <v>Germany</v>
      </c>
      <c r="F12">
        <v>23500</v>
      </c>
      <c r="G12" s="24">
        <f t="shared" si="0"/>
        <v>-1.1999999999999993</v>
      </c>
    </row>
    <row r="13" spans="1:16" x14ac:dyDescent="0.25">
      <c r="A13">
        <f t="shared" si="1"/>
        <v>12</v>
      </c>
      <c r="B13" s="24">
        <v>29.5</v>
      </c>
      <c r="C13" s="5" t="str">
        <v>Fanuc</v>
      </c>
      <c r="D13" t="str">
        <v>CRX-20iA/L</v>
      </c>
      <c r="E13" t="str">
        <v>Japan</v>
      </c>
      <c r="F13">
        <v>45000</v>
      </c>
      <c r="G13" s="24">
        <f t="shared" si="0"/>
        <v>-1.3000000000000007</v>
      </c>
    </row>
    <row r="14" spans="1:16" x14ac:dyDescent="0.25">
      <c r="A14">
        <f t="shared" si="1"/>
        <v>13</v>
      </c>
      <c r="B14" s="24">
        <v>29.4</v>
      </c>
      <c r="C14" s="5" t="str">
        <v>Dobot</v>
      </c>
      <c r="D14" t="str">
        <v>CR10</v>
      </c>
      <c r="E14" t="str">
        <v>China</v>
      </c>
      <c r="F14">
        <v>21540</v>
      </c>
      <c r="G14" s="24">
        <f t="shared" si="0"/>
        <v>-1.4000000000000021</v>
      </c>
    </row>
    <row r="15" spans="1:16" x14ac:dyDescent="0.25">
      <c r="A15">
        <f t="shared" si="1"/>
        <v>13</v>
      </c>
      <c r="B15" s="24">
        <v>29.4</v>
      </c>
      <c r="C15" s="5" t="str">
        <v>Elite Robots</v>
      </c>
      <c r="D15" t="str">
        <v>EC66</v>
      </c>
      <c r="E15" t="str">
        <v>China</v>
      </c>
      <c r="F15">
        <v>16875</v>
      </c>
      <c r="G15" s="24">
        <f t="shared" si="0"/>
        <v>-1.4000000000000021</v>
      </c>
    </row>
    <row r="16" spans="1:16" x14ac:dyDescent="0.25">
      <c r="A16">
        <f t="shared" si="1"/>
        <v>15</v>
      </c>
      <c r="B16" s="24">
        <v>29.2</v>
      </c>
      <c r="C16" s="5" t="str">
        <v>Elite Robots</v>
      </c>
      <c r="D16" t="str">
        <v>EC68-08</v>
      </c>
      <c r="E16" t="str">
        <v>China</v>
      </c>
      <c r="F16">
        <v>18575</v>
      </c>
      <c r="G16" s="24">
        <f t="shared" si="0"/>
        <v>-1.6000000000000014</v>
      </c>
    </row>
    <row r="17" spans="1:7" x14ac:dyDescent="0.25">
      <c r="A17">
        <f t="shared" si="1"/>
        <v>15</v>
      </c>
      <c r="B17" s="24">
        <v>29.2</v>
      </c>
      <c r="C17" s="5" t="str">
        <v>JAKA</v>
      </c>
      <c r="D17" t="str">
        <v>Ai 5</v>
      </c>
      <c r="E17" t="str">
        <v>Germany</v>
      </c>
      <c r="F17">
        <v>20940</v>
      </c>
      <c r="G17" s="24">
        <f t="shared" si="0"/>
        <v>-1.6000000000000014</v>
      </c>
    </row>
    <row r="18" spans="1:7" x14ac:dyDescent="0.25">
      <c r="A18">
        <f t="shared" si="1"/>
        <v>15</v>
      </c>
      <c r="B18" s="24">
        <v>29.2</v>
      </c>
      <c r="C18" s="5" t="str">
        <v>JAKA</v>
      </c>
      <c r="D18" t="str">
        <v>Ai 7</v>
      </c>
      <c r="E18" t="str">
        <v>Germany</v>
      </c>
      <c r="F18">
        <v>20940</v>
      </c>
      <c r="G18" s="24">
        <f t="shared" si="0"/>
        <v>-1.6000000000000014</v>
      </c>
    </row>
    <row r="19" spans="1:7" x14ac:dyDescent="0.25">
      <c r="A19">
        <f t="shared" si="1"/>
        <v>18</v>
      </c>
      <c r="B19" s="24">
        <v>29</v>
      </c>
      <c r="C19" s="5" t="str">
        <v>AUBO Robotics</v>
      </c>
      <c r="D19" t="str">
        <v>AUBO i10</v>
      </c>
      <c r="E19" t="str">
        <v>USA</v>
      </c>
      <c r="F19">
        <v>20000</v>
      </c>
      <c r="G19" s="24">
        <f t="shared" si="0"/>
        <v>-1.8000000000000007</v>
      </c>
    </row>
    <row r="20" spans="1:7" x14ac:dyDescent="0.25">
      <c r="A20">
        <f t="shared" si="1"/>
        <v>18</v>
      </c>
      <c r="B20" s="24">
        <v>29</v>
      </c>
      <c r="C20" s="5" t="str">
        <v>Elite Robots</v>
      </c>
      <c r="D20" t="str">
        <v>CS620</v>
      </c>
      <c r="E20" t="str">
        <v>China</v>
      </c>
      <c r="F20">
        <v>30720</v>
      </c>
      <c r="G20" s="24">
        <f t="shared" si="0"/>
        <v>-1.8000000000000007</v>
      </c>
    </row>
    <row r="21" spans="1:7" x14ac:dyDescent="0.25">
      <c r="A21">
        <f t="shared" si="1"/>
        <v>20</v>
      </c>
      <c r="B21" s="24">
        <v>28.8</v>
      </c>
      <c r="C21" s="5" t="str">
        <v>AUBO Robotics</v>
      </c>
      <c r="D21" t="str">
        <v>AUBO i16</v>
      </c>
      <c r="E21" t="str">
        <v>USA</v>
      </c>
      <c r="F21">
        <v>21000</v>
      </c>
      <c r="G21" s="24">
        <f t="shared" si="0"/>
        <v>-2</v>
      </c>
    </row>
    <row r="22" spans="1:7" x14ac:dyDescent="0.25">
      <c r="A22">
        <f t="shared" si="1"/>
        <v>20</v>
      </c>
      <c r="B22" s="24">
        <v>28.8</v>
      </c>
      <c r="C22" s="5" t="str">
        <v>Techman Robot</v>
      </c>
      <c r="D22" t="str">
        <v>TM30S</v>
      </c>
      <c r="E22" t="str">
        <v>Taiwan</v>
      </c>
      <c r="F22">
        <v>0</v>
      </c>
      <c r="G22" s="24">
        <f t="shared" si="0"/>
        <v>-2</v>
      </c>
    </row>
    <row r="23" spans="1:7" x14ac:dyDescent="0.25">
      <c r="A23">
        <f t="shared" si="1"/>
        <v>22</v>
      </c>
      <c r="B23" s="24">
        <v>28.7</v>
      </c>
      <c r="C23" s="5" t="str">
        <v>Elite Robots</v>
      </c>
      <c r="D23" t="str">
        <v>CS612</v>
      </c>
      <c r="E23" t="str">
        <v>China</v>
      </c>
      <c r="F23">
        <v>28130</v>
      </c>
      <c r="G23" s="24">
        <f t="shared" si="0"/>
        <v>-2.1000000000000014</v>
      </c>
    </row>
    <row r="24" spans="1:7" x14ac:dyDescent="0.25">
      <c r="A24">
        <f t="shared" si="1"/>
        <v>22</v>
      </c>
      <c r="B24" s="24">
        <v>28.7</v>
      </c>
      <c r="C24" s="5" t="str">
        <v>JAKA</v>
      </c>
      <c r="D24" t="str">
        <v>Zu 5s</v>
      </c>
      <c r="E24" t="str">
        <v>Germany</v>
      </c>
      <c r="F24">
        <v>25310</v>
      </c>
      <c r="G24" s="24">
        <f t="shared" si="0"/>
        <v>-2.1000000000000014</v>
      </c>
    </row>
    <row r="25" spans="1:7" x14ac:dyDescent="0.25">
      <c r="A25">
        <f t="shared" si="1"/>
        <v>24</v>
      </c>
      <c r="B25" s="24">
        <v>28.6</v>
      </c>
      <c r="C25" s="5" t="str">
        <v>Dobot</v>
      </c>
      <c r="D25" t="str">
        <v>CR5</v>
      </c>
      <c r="E25" t="str">
        <v>China</v>
      </c>
      <c r="F25">
        <v>15390</v>
      </c>
      <c r="G25" s="24">
        <f t="shared" si="0"/>
        <v>-2.1999999999999993</v>
      </c>
    </row>
    <row r="26" spans="1:7" x14ac:dyDescent="0.25">
      <c r="A26">
        <f t="shared" si="1"/>
        <v>24</v>
      </c>
      <c r="B26" s="24">
        <v>28.6</v>
      </c>
      <c r="C26" s="5" t="str">
        <v>JAKA</v>
      </c>
      <c r="D26" t="str">
        <v>Zu 7s</v>
      </c>
      <c r="E26" t="str">
        <v>Germany</v>
      </c>
      <c r="F26">
        <v>25310</v>
      </c>
      <c r="G26" s="24">
        <f t="shared" si="0"/>
        <v>-2.1999999999999993</v>
      </c>
    </row>
    <row r="27" spans="1:7" x14ac:dyDescent="0.25">
      <c r="A27">
        <f t="shared" si="1"/>
        <v>26</v>
      </c>
      <c r="B27" s="24">
        <v>28.5</v>
      </c>
      <c r="C27" s="5" t="str">
        <v>Elite Robots</v>
      </c>
      <c r="D27" t="str">
        <v>EC63</v>
      </c>
      <c r="E27" t="str">
        <v>China</v>
      </c>
      <c r="F27">
        <v>14280</v>
      </c>
      <c r="G27" s="24">
        <f t="shared" si="0"/>
        <v>-2.3000000000000007</v>
      </c>
    </row>
    <row r="28" spans="1:7" x14ac:dyDescent="0.25">
      <c r="A28">
        <f t="shared" si="1"/>
        <v>26</v>
      </c>
      <c r="B28" s="24">
        <v>28.5</v>
      </c>
      <c r="C28" s="5" t="str">
        <v>JAKA</v>
      </c>
      <c r="D28" t="str">
        <v>Zu 5</v>
      </c>
      <c r="E28" t="str">
        <v>Germany</v>
      </c>
      <c r="F28">
        <v>19000</v>
      </c>
      <c r="G28" s="24">
        <f t="shared" si="0"/>
        <v>-2.3000000000000007</v>
      </c>
    </row>
    <row r="29" spans="1:7" x14ac:dyDescent="0.25">
      <c r="A29">
        <f t="shared" si="1"/>
        <v>26</v>
      </c>
      <c r="B29" s="24">
        <v>28.5</v>
      </c>
      <c r="C29" s="5" t="str">
        <v>JAKA</v>
      </c>
      <c r="D29" t="str">
        <v>Zu 7</v>
      </c>
      <c r="E29" t="str">
        <v>Germany</v>
      </c>
      <c r="F29">
        <v>19000</v>
      </c>
      <c r="G29" s="24">
        <f t="shared" si="0"/>
        <v>-2.3000000000000007</v>
      </c>
    </row>
    <row r="30" spans="1:7" x14ac:dyDescent="0.25">
      <c r="A30">
        <f t="shared" si="1"/>
        <v>26</v>
      </c>
      <c r="B30" s="24">
        <v>28.5</v>
      </c>
      <c r="C30" s="5" t="str">
        <v>JAKA</v>
      </c>
      <c r="D30" t="str">
        <v>Ai 3</v>
      </c>
      <c r="E30" t="str">
        <v>Germany</v>
      </c>
      <c r="F30">
        <v>18430</v>
      </c>
      <c r="G30" s="24">
        <f t="shared" si="0"/>
        <v>-2.3000000000000007</v>
      </c>
    </row>
    <row r="31" spans="1:7" x14ac:dyDescent="0.25">
      <c r="A31">
        <f t="shared" si="1"/>
        <v>30</v>
      </c>
      <c r="B31" s="24">
        <v>28.4</v>
      </c>
      <c r="C31" s="5" t="str">
        <v>Fanuc</v>
      </c>
      <c r="D31" t="str">
        <v>CRX-10iA/L</v>
      </c>
      <c r="E31" t="str">
        <v>Japan</v>
      </c>
      <c r="F31">
        <v>38500</v>
      </c>
      <c r="G31" s="24">
        <f t="shared" si="0"/>
        <v>-2.4000000000000021</v>
      </c>
    </row>
    <row r="32" spans="1:7" x14ac:dyDescent="0.25">
      <c r="A32">
        <f t="shared" si="1"/>
        <v>30</v>
      </c>
      <c r="B32" s="24">
        <v>28.4</v>
      </c>
      <c r="C32" s="5" t="str">
        <v>Neura Robotics</v>
      </c>
      <c r="D32" t="str">
        <v>LARA 8</v>
      </c>
      <c r="E32" t="str">
        <v>Germany</v>
      </c>
      <c r="F32">
        <v>21900</v>
      </c>
      <c r="G32" s="24">
        <f t="shared" si="0"/>
        <v>-2.4000000000000021</v>
      </c>
    </row>
    <row r="33" spans="1:7" x14ac:dyDescent="0.25">
      <c r="A33">
        <f t="shared" si="1"/>
        <v>32</v>
      </c>
      <c r="B33" s="24">
        <v>28.3</v>
      </c>
      <c r="C33" s="5" t="str">
        <v>AUBO Robotics</v>
      </c>
      <c r="D33" t="str">
        <v>AUBO i5</v>
      </c>
      <c r="E33" t="str">
        <v>USA</v>
      </c>
      <c r="F33">
        <v>18000</v>
      </c>
      <c r="G33" s="24">
        <f t="shared" si="0"/>
        <v>-2.5</v>
      </c>
    </row>
    <row r="34" spans="1:7" x14ac:dyDescent="0.25">
      <c r="A34">
        <f t="shared" si="1"/>
        <v>32</v>
      </c>
      <c r="B34" s="24">
        <v>28.3</v>
      </c>
      <c r="C34" s="5" t="str">
        <v>JAKA</v>
      </c>
      <c r="D34" t="str">
        <v>Pro 5</v>
      </c>
      <c r="E34" t="str">
        <v>Germany</v>
      </c>
      <c r="F34">
        <v>20450</v>
      </c>
      <c r="G34" s="24">
        <f t="shared" ref="G34:G65" si="2">B34-$B$2</f>
        <v>-2.5</v>
      </c>
    </row>
    <row r="35" spans="1:7" x14ac:dyDescent="0.25">
      <c r="A35">
        <f t="shared" si="1"/>
        <v>34</v>
      </c>
      <c r="B35" s="24">
        <v>28.2</v>
      </c>
      <c r="C35" s="5" t="str">
        <v>Elite Robots</v>
      </c>
      <c r="D35" t="str">
        <v>CS625</v>
      </c>
      <c r="E35" t="str">
        <v>China</v>
      </c>
      <c r="F35">
        <v>34400</v>
      </c>
      <c r="G35" s="24">
        <f t="shared" si="2"/>
        <v>-2.6000000000000014</v>
      </c>
    </row>
    <row r="36" spans="1:7" x14ac:dyDescent="0.25">
      <c r="A36">
        <f t="shared" si="1"/>
        <v>35</v>
      </c>
      <c r="B36" s="24">
        <v>28.1</v>
      </c>
      <c r="C36" s="5" t="str">
        <v>Fanuc</v>
      </c>
      <c r="D36" t="str">
        <v>CRX-25iA</v>
      </c>
      <c r="E36" t="str">
        <v>Japan</v>
      </c>
      <c r="F36">
        <v>52000</v>
      </c>
      <c r="G36" s="24">
        <f t="shared" si="2"/>
        <v>-2.6999999999999993</v>
      </c>
    </row>
    <row r="37" spans="1:7" x14ac:dyDescent="0.25">
      <c r="A37">
        <f t="shared" si="1"/>
        <v>36</v>
      </c>
      <c r="B37" s="24">
        <v>28</v>
      </c>
      <c r="C37" s="5" t="str">
        <v>Fanuc</v>
      </c>
      <c r="D37" t="str">
        <v>CRX-10iA</v>
      </c>
      <c r="E37" t="str">
        <v>Japan</v>
      </c>
      <c r="F37">
        <v>37000</v>
      </c>
      <c r="G37" s="24">
        <f t="shared" si="2"/>
        <v>-2.8000000000000007</v>
      </c>
    </row>
    <row r="38" spans="1:7" x14ac:dyDescent="0.25">
      <c r="A38">
        <f t="shared" si="1"/>
        <v>36</v>
      </c>
      <c r="B38" s="24">
        <v>28</v>
      </c>
      <c r="C38" s="5" t="str">
        <v>Fanuc</v>
      </c>
      <c r="D38" t="str">
        <v>CRX-30iA</v>
      </c>
      <c r="E38" t="str">
        <v>Japan</v>
      </c>
      <c r="F38">
        <v>0</v>
      </c>
      <c r="G38" s="24">
        <f t="shared" si="2"/>
        <v>-2.8000000000000007</v>
      </c>
    </row>
    <row r="39" spans="1:7" x14ac:dyDescent="0.25">
      <c r="A39">
        <f t="shared" si="1"/>
        <v>38</v>
      </c>
      <c r="B39" s="24">
        <v>27.8</v>
      </c>
      <c r="C39" s="5" t="str">
        <v>Delta Electronics</v>
      </c>
      <c r="D39" t="str">
        <v>Delta D-Bot DC16</v>
      </c>
      <c r="E39" t="str">
        <v>Taiwan</v>
      </c>
      <c r="F39">
        <v>38900</v>
      </c>
      <c r="G39" s="24">
        <f t="shared" si="2"/>
        <v>-3</v>
      </c>
    </row>
    <row r="40" spans="1:7" x14ac:dyDescent="0.25">
      <c r="A40">
        <f t="shared" si="1"/>
        <v>38</v>
      </c>
      <c r="B40" s="24">
        <v>27.8</v>
      </c>
      <c r="C40" s="5" t="str">
        <v>Neura Robotics</v>
      </c>
      <c r="D40" t="str">
        <v>LARA 10</v>
      </c>
      <c r="E40" t="str">
        <v>Germany</v>
      </c>
      <c r="F40">
        <v>22500</v>
      </c>
      <c r="G40" s="24">
        <f t="shared" si="2"/>
        <v>-3</v>
      </c>
    </row>
    <row r="41" spans="1:7" x14ac:dyDescent="0.25">
      <c r="A41">
        <f t="shared" si="1"/>
        <v>40</v>
      </c>
      <c r="B41" s="24">
        <v>27.6</v>
      </c>
      <c r="C41" s="5" t="str">
        <v>Rainbow Robotics</v>
      </c>
      <c r="D41" t="str">
        <v>RB20-1900</v>
      </c>
      <c r="E41" t="str">
        <v>South Korea</v>
      </c>
      <c r="F41">
        <v>44500</v>
      </c>
      <c r="G41" s="24">
        <f t="shared" si="2"/>
        <v>-3.1999999999999993</v>
      </c>
    </row>
    <row r="42" spans="1:7" x14ac:dyDescent="0.25">
      <c r="A42">
        <f t="shared" si="1"/>
        <v>41</v>
      </c>
      <c r="B42" s="24">
        <v>27.5</v>
      </c>
      <c r="C42" s="5" t="str">
        <v>Agile Robots</v>
      </c>
      <c r="D42" t="str">
        <v>Yu 5 Industiral</v>
      </c>
      <c r="E42" t="str">
        <v>Germany</v>
      </c>
      <c r="F42">
        <v>27000</v>
      </c>
      <c r="G42" s="24">
        <f t="shared" si="2"/>
        <v>-3.3000000000000007</v>
      </c>
    </row>
    <row r="43" spans="1:7" x14ac:dyDescent="0.25">
      <c r="A43">
        <f t="shared" si="1"/>
        <v>41</v>
      </c>
      <c r="B43" s="24">
        <v>27.5</v>
      </c>
      <c r="C43" s="5" t="str">
        <v>OMRON</v>
      </c>
      <c r="D43" t="str">
        <v>TM25S</v>
      </c>
      <c r="E43" t="str">
        <v>Japan</v>
      </c>
      <c r="F43">
        <v>0</v>
      </c>
      <c r="G43" s="24">
        <f t="shared" si="2"/>
        <v>-3.3000000000000007</v>
      </c>
    </row>
    <row r="44" spans="1:7" x14ac:dyDescent="0.25">
      <c r="A44">
        <f t="shared" si="1"/>
        <v>43</v>
      </c>
      <c r="B44" s="24">
        <v>27.4</v>
      </c>
      <c r="C44" s="5" t="str">
        <v>Neura Robotics</v>
      </c>
      <c r="D44" t="str">
        <v>LARA 5</v>
      </c>
      <c r="E44" t="str">
        <v>Germany</v>
      </c>
      <c r="F44">
        <v>18900</v>
      </c>
      <c r="G44" s="24">
        <f t="shared" si="2"/>
        <v>-3.4000000000000021</v>
      </c>
    </row>
    <row r="45" spans="1:7" x14ac:dyDescent="0.25">
      <c r="A45">
        <f t="shared" si="1"/>
        <v>43</v>
      </c>
      <c r="B45" s="24">
        <v>27.4</v>
      </c>
      <c r="C45" s="5" t="str">
        <v>UFACTORY</v>
      </c>
      <c r="D45" t="str">
        <v>xArm 5</v>
      </c>
      <c r="E45" t="str">
        <v>China</v>
      </c>
      <c r="F45">
        <v>4900</v>
      </c>
      <c r="G45" s="24">
        <f t="shared" si="2"/>
        <v>-3.4000000000000021</v>
      </c>
    </row>
    <row r="46" spans="1:7" x14ac:dyDescent="0.25">
      <c r="A46">
        <f t="shared" si="1"/>
        <v>45</v>
      </c>
      <c r="B46" s="24">
        <v>27.3</v>
      </c>
      <c r="C46" s="5" t="str">
        <v>AUBO Robotics</v>
      </c>
      <c r="D46" t="str">
        <v>AUBO i3</v>
      </c>
      <c r="E46" t="str">
        <v>USA</v>
      </c>
      <c r="F46">
        <v>18000</v>
      </c>
      <c r="G46" s="24">
        <f t="shared" si="2"/>
        <v>-3.5</v>
      </c>
    </row>
    <row r="47" spans="1:7" x14ac:dyDescent="0.25">
      <c r="A47">
        <f t="shared" si="1"/>
        <v>45</v>
      </c>
      <c r="B47" s="24">
        <v>27.3</v>
      </c>
      <c r="C47" s="5" t="str">
        <v>Delta Electronics</v>
      </c>
      <c r="D47" t="str">
        <v>Delta D-Bot DC08</v>
      </c>
      <c r="E47" t="str">
        <v>Taiwan</v>
      </c>
      <c r="F47">
        <v>31900</v>
      </c>
      <c r="G47" s="24">
        <f t="shared" si="2"/>
        <v>-3.5</v>
      </c>
    </row>
    <row r="48" spans="1:7" x14ac:dyDescent="0.25">
      <c r="A48">
        <f t="shared" si="1"/>
        <v>47</v>
      </c>
      <c r="B48" s="24">
        <v>27.2</v>
      </c>
      <c r="C48" s="5" t="str">
        <v>Delta Electronics</v>
      </c>
      <c r="D48" t="str">
        <v>Delta D-Bot DC10</v>
      </c>
      <c r="E48" t="str">
        <v>Taiwan</v>
      </c>
      <c r="F48">
        <v>33900</v>
      </c>
      <c r="G48" s="24">
        <f t="shared" si="2"/>
        <v>-3.6000000000000014</v>
      </c>
    </row>
    <row r="49" spans="1:7" x14ac:dyDescent="0.25">
      <c r="A49">
        <f t="shared" si="1"/>
        <v>47</v>
      </c>
      <c r="B49" s="24">
        <v>27.2</v>
      </c>
      <c r="C49" s="5" t="str">
        <v>Universal Robots</v>
      </c>
      <c r="D49" t="str">
        <v>UR20</v>
      </c>
      <c r="E49" t="str">
        <v>Denmark</v>
      </c>
      <c r="F49">
        <v>54333</v>
      </c>
      <c r="G49" s="24">
        <f t="shared" si="2"/>
        <v>-3.6000000000000014</v>
      </c>
    </row>
    <row r="50" spans="1:7" x14ac:dyDescent="0.25">
      <c r="A50">
        <f t="shared" si="1"/>
        <v>49</v>
      </c>
      <c r="B50" s="24">
        <v>27.1</v>
      </c>
      <c r="C50" s="5" t="str">
        <v>Universal Robots</v>
      </c>
      <c r="D50" t="str">
        <v>UR30</v>
      </c>
      <c r="E50" t="str">
        <v>Denmark</v>
      </c>
      <c r="F50">
        <v>51495</v>
      </c>
      <c r="G50" s="24">
        <f t="shared" si="2"/>
        <v>-3.6999999999999993</v>
      </c>
    </row>
    <row r="51" spans="1:7" x14ac:dyDescent="0.25">
      <c r="A51">
        <f t="shared" si="1"/>
        <v>50</v>
      </c>
      <c r="B51" s="24">
        <v>27</v>
      </c>
      <c r="C51" s="5" t="str">
        <v>JAKA</v>
      </c>
      <c r="D51" t="str">
        <v>Zu 3s</v>
      </c>
      <c r="E51" t="str">
        <v>Germany</v>
      </c>
      <c r="F51">
        <v>22330</v>
      </c>
      <c r="G51" s="24">
        <f t="shared" si="2"/>
        <v>-3.8000000000000007</v>
      </c>
    </row>
    <row r="52" spans="1:7" x14ac:dyDescent="0.25">
      <c r="A52">
        <f t="shared" si="1"/>
        <v>51</v>
      </c>
      <c r="B52" s="24">
        <v>26.9</v>
      </c>
      <c r="C52" s="5" t="str">
        <v>Neura Robotics</v>
      </c>
      <c r="D52" t="str">
        <v>LARA 3</v>
      </c>
      <c r="E52" t="str">
        <v>Germany</v>
      </c>
      <c r="F52">
        <v>16500</v>
      </c>
      <c r="G52" s="24">
        <f t="shared" si="2"/>
        <v>-3.9000000000000021</v>
      </c>
    </row>
    <row r="53" spans="1:7" x14ac:dyDescent="0.25">
      <c r="A53">
        <f t="shared" si="1"/>
        <v>52</v>
      </c>
      <c r="B53" s="24">
        <v>26.8</v>
      </c>
      <c r="C53" s="5" t="str">
        <v>Delta Electronics</v>
      </c>
      <c r="D53" t="str">
        <v>Delta D-Bot DC20</v>
      </c>
      <c r="E53" t="str">
        <v>Taiwan</v>
      </c>
      <c r="F53">
        <v>47900</v>
      </c>
      <c r="G53" s="24">
        <f t="shared" si="2"/>
        <v>-4</v>
      </c>
    </row>
    <row r="54" spans="1:7" x14ac:dyDescent="0.25">
      <c r="A54">
        <f t="shared" si="1"/>
        <v>52</v>
      </c>
      <c r="B54" s="24">
        <v>26.8</v>
      </c>
      <c r="C54" s="5" t="str">
        <v>JAKA</v>
      </c>
      <c r="D54" t="str">
        <v>Zu 3</v>
      </c>
      <c r="E54" t="str">
        <v>Germany</v>
      </c>
      <c r="F54">
        <v>16500</v>
      </c>
      <c r="G54" s="24">
        <f t="shared" si="2"/>
        <v>-4</v>
      </c>
    </row>
    <row r="55" spans="1:7" x14ac:dyDescent="0.25">
      <c r="A55">
        <f t="shared" si="1"/>
        <v>52</v>
      </c>
      <c r="B55" s="24">
        <v>26.8</v>
      </c>
      <c r="C55" s="5" t="str">
        <v>Universal Robots</v>
      </c>
      <c r="D55" t="str">
        <v>UR10e</v>
      </c>
      <c r="E55" t="str">
        <v>Denmark</v>
      </c>
      <c r="F55">
        <v>39707</v>
      </c>
      <c r="G55" s="24">
        <f t="shared" si="2"/>
        <v>-4</v>
      </c>
    </row>
    <row r="56" spans="1:7" x14ac:dyDescent="0.25">
      <c r="A56">
        <f t="shared" si="1"/>
        <v>55</v>
      </c>
      <c r="B56" s="24">
        <v>26.7</v>
      </c>
      <c r="C56" s="5" t="str">
        <v>Rainbow Robotics</v>
      </c>
      <c r="D56" t="str">
        <v>RB3-1200</v>
      </c>
      <c r="E56" t="str">
        <v>South Korea</v>
      </c>
      <c r="F56">
        <v>23500</v>
      </c>
      <c r="G56" s="24">
        <f t="shared" si="2"/>
        <v>-4.1000000000000014</v>
      </c>
    </row>
    <row r="57" spans="1:7" x14ac:dyDescent="0.25">
      <c r="A57">
        <f t="shared" si="1"/>
        <v>56</v>
      </c>
      <c r="B57" s="24">
        <v>26.6</v>
      </c>
      <c r="C57" s="5" t="str">
        <v>Delta Electronics</v>
      </c>
      <c r="D57" t="str">
        <v>Delta D-Bot DC06</v>
      </c>
      <c r="E57" t="str">
        <v>Taiwan</v>
      </c>
      <c r="F57">
        <v>26900</v>
      </c>
      <c r="G57" s="24">
        <f t="shared" si="2"/>
        <v>-4.1999999999999993</v>
      </c>
    </row>
    <row r="58" spans="1:7" x14ac:dyDescent="0.25">
      <c r="A58">
        <f t="shared" si="1"/>
        <v>56</v>
      </c>
      <c r="B58" s="24">
        <v>26.6</v>
      </c>
      <c r="C58" s="5" t="str">
        <v>Delta Electronics</v>
      </c>
      <c r="D58" t="str">
        <v>Delta D-Bot DC30</v>
      </c>
      <c r="E58" t="str">
        <v>Taiwan</v>
      </c>
      <c r="F58">
        <v>52900</v>
      </c>
      <c r="G58" s="24">
        <f t="shared" si="2"/>
        <v>-4.1999999999999993</v>
      </c>
    </row>
    <row r="59" spans="1:7" x14ac:dyDescent="0.25">
      <c r="A59">
        <f t="shared" si="1"/>
        <v>56</v>
      </c>
      <c r="B59" s="24">
        <v>26.6</v>
      </c>
      <c r="C59" s="5" t="str">
        <v>Neura Robotics</v>
      </c>
      <c r="D59" t="str">
        <v>MAiRA S</v>
      </c>
      <c r="E59" t="str">
        <v>Germany</v>
      </c>
      <c r="F59">
        <v>37500</v>
      </c>
      <c r="G59" s="24">
        <f t="shared" si="2"/>
        <v>-4.1999999999999993</v>
      </c>
    </row>
    <row r="60" spans="1:7" x14ac:dyDescent="0.25">
      <c r="A60">
        <f t="shared" si="1"/>
        <v>56</v>
      </c>
      <c r="B60" s="24">
        <v>26.6</v>
      </c>
      <c r="C60" s="5" t="str">
        <v>Neura Robotics</v>
      </c>
      <c r="D60" t="str">
        <v>MAiRA M</v>
      </c>
      <c r="E60" t="str">
        <v>Germany</v>
      </c>
      <c r="F60">
        <v>39500</v>
      </c>
      <c r="G60" s="24">
        <f t="shared" si="2"/>
        <v>-4.1999999999999993</v>
      </c>
    </row>
    <row r="61" spans="1:7" x14ac:dyDescent="0.25">
      <c r="A61">
        <f t="shared" si="1"/>
        <v>60</v>
      </c>
      <c r="B61" s="24">
        <v>26.5</v>
      </c>
      <c r="C61" s="5" t="str">
        <v>Elite Robots</v>
      </c>
      <c r="D61" t="str">
        <v>CS66</v>
      </c>
      <c r="E61" t="str">
        <v>China</v>
      </c>
      <c r="F61">
        <v>19160</v>
      </c>
      <c r="G61" s="24">
        <f t="shared" si="2"/>
        <v>-4.3000000000000007</v>
      </c>
    </row>
    <row r="62" spans="1:7" x14ac:dyDescent="0.25">
      <c r="A62">
        <f t="shared" si="1"/>
        <v>61</v>
      </c>
      <c r="B62" s="24">
        <v>26.3</v>
      </c>
      <c r="C62" s="5" t="str">
        <v>Neura Robotics</v>
      </c>
      <c r="D62" t="str">
        <v>MAiRA L</v>
      </c>
      <c r="E62" t="str">
        <v>Germany</v>
      </c>
      <c r="F62">
        <v>41500</v>
      </c>
      <c r="G62" s="24">
        <f t="shared" si="2"/>
        <v>-4.5</v>
      </c>
    </row>
    <row r="63" spans="1:7" x14ac:dyDescent="0.25">
      <c r="A63">
        <f t="shared" si="1"/>
        <v>62</v>
      </c>
      <c r="B63" s="24">
        <v>26.2</v>
      </c>
      <c r="C63" s="5" t="str">
        <v>Elite Robots</v>
      </c>
      <c r="D63" t="str">
        <v>EC64-19</v>
      </c>
      <c r="E63" t="str">
        <v>China</v>
      </c>
      <c r="F63">
        <v>20700</v>
      </c>
      <c r="G63" s="24">
        <f t="shared" si="2"/>
        <v>-4.6000000000000014</v>
      </c>
    </row>
    <row r="64" spans="1:7" x14ac:dyDescent="0.25">
      <c r="A64">
        <f t="shared" si="1"/>
        <v>63</v>
      </c>
      <c r="B64" s="24">
        <v>26.1</v>
      </c>
      <c r="C64" s="5" t="str">
        <v>Elite Robots</v>
      </c>
      <c r="D64" t="str">
        <v>CS63</v>
      </c>
      <c r="E64" t="str">
        <v>China</v>
      </c>
      <c r="F64">
        <v>16840</v>
      </c>
      <c r="G64" s="24">
        <f t="shared" si="2"/>
        <v>-4.6999999999999993</v>
      </c>
    </row>
    <row r="65" spans="1:7" x14ac:dyDescent="0.25">
      <c r="A65">
        <f t="shared" si="1"/>
        <v>64</v>
      </c>
      <c r="B65" s="24">
        <v>25.8</v>
      </c>
      <c r="C65" s="5" t="str">
        <v>Schneider Electric GmbH</v>
      </c>
      <c r="D65" t="str">
        <v>Lexium Cobot - 12</v>
      </c>
      <c r="E65" t="str">
        <v>Germany</v>
      </c>
      <c r="F65">
        <v>31500</v>
      </c>
      <c r="G65" s="24">
        <f t="shared" si="2"/>
        <v>-5</v>
      </c>
    </row>
    <row r="66" spans="1:7" x14ac:dyDescent="0.25">
      <c r="A66">
        <f t="shared" si="1"/>
        <v>65</v>
      </c>
      <c r="B66" s="24">
        <v>25.7</v>
      </c>
      <c r="C66" s="5" t="str">
        <v>ABB</v>
      </c>
      <c r="D66" t="str">
        <v>GoFa CRB 15000 - 12kg</v>
      </c>
      <c r="E66" t="str">
        <v>Switzerland</v>
      </c>
      <c r="F66">
        <v>37500</v>
      </c>
      <c r="G66" s="24">
        <f t="shared" ref="G66:G97" si="3">B66-$B$2</f>
        <v>-5.1000000000000014</v>
      </c>
    </row>
    <row r="67" spans="1:7" x14ac:dyDescent="0.25">
      <c r="A67">
        <f t="shared" ref="A67:A130" si="4">_xlfn.RANK.EQ(B67,$B$2:$B$162)</f>
        <v>65</v>
      </c>
      <c r="B67" s="24">
        <v>25.7</v>
      </c>
      <c r="C67" s="5" t="str">
        <v>Dobot</v>
      </c>
      <c r="D67" t="str">
        <v>Nova 5</v>
      </c>
      <c r="E67" t="str">
        <v>China</v>
      </c>
      <c r="F67">
        <v>9540</v>
      </c>
      <c r="G67" s="24">
        <f t="shared" si="3"/>
        <v>-5.1000000000000014</v>
      </c>
    </row>
    <row r="68" spans="1:7" x14ac:dyDescent="0.25">
      <c r="A68">
        <f t="shared" si="4"/>
        <v>65</v>
      </c>
      <c r="B68" s="24">
        <v>25.7</v>
      </c>
      <c r="C68" s="5" t="str">
        <v>Doosan Robotics</v>
      </c>
      <c r="D68" t="str">
        <v>A0912</v>
      </c>
      <c r="E68" t="str">
        <v>South Korea</v>
      </c>
      <c r="F68">
        <v>27500</v>
      </c>
      <c r="G68" s="24">
        <f t="shared" si="3"/>
        <v>-5.1000000000000014</v>
      </c>
    </row>
    <row r="69" spans="1:7" x14ac:dyDescent="0.25">
      <c r="A69">
        <f t="shared" si="4"/>
        <v>65</v>
      </c>
      <c r="B69" s="24">
        <v>25.7</v>
      </c>
      <c r="C69" s="5" t="str">
        <v>Mitsubishi</v>
      </c>
      <c r="D69" t="str">
        <v>MELFA ASSISTA</v>
      </c>
      <c r="E69" t="str">
        <v>Japan</v>
      </c>
      <c r="F69">
        <v>31000</v>
      </c>
      <c r="G69" s="24">
        <f t="shared" si="3"/>
        <v>-5.1000000000000014</v>
      </c>
    </row>
    <row r="70" spans="1:7" x14ac:dyDescent="0.25">
      <c r="A70">
        <f t="shared" si="4"/>
        <v>69</v>
      </c>
      <c r="B70" s="24">
        <v>25.6</v>
      </c>
      <c r="C70" s="5" t="str">
        <v>Schneider Electric GmbH</v>
      </c>
      <c r="D70" t="str">
        <v>Lexium Cobot - 18</v>
      </c>
      <c r="E70" t="str">
        <v>Germany</v>
      </c>
      <c r="F70">
        <v>36900</v>
      </c>
      <c r="G70" s="24">
        <f t="shared" si="3"/>
        <v>-5.1999999999999993</v>
      </c>
    </row>
    <row r="71" spans="1:7" x14ac:dyDescent="0.25">
      <c r="A71">
        <f t="shared" si="4"/>
        <v>69</v>
      </c>
      <c r="B71" s="24">
        <v>25.6</v>
      </c>
      <c r="C71" s="5" t="str">
        <v>Universal Robots</v>
      </c>
      <c r="D71" t="str">
        <v>UR5e</v>
      </c>
      <c r="E71" t="str">
        <v>Denmark</v>
      </c>
      <c r="F71">
        <v>30619</v>
      </c>
      <c r="G71" s="24">
        <f t="shared" si="3"/>
        <v>-5.1999999999999993</v>
      </c>
    </row>
    <row r="72" spans="1:7" x14ac:dyDescent="0.25">
      <c r="A72">
        <f t="shared" si="4"/>
        <v>71</v>
      </c>
      <c r="B72" s="24">
        <v>25.5</v>
      </c>
      <c r="C72" s="5" t="str">
        <v>Doosan Robotics</v>
      </c>
      <c r="D72" t="str">
        <v>H2017</v>
      </c>
      <c r="E72" t="str">
        <v>South Korea</v>
      </c>
      <c r="F72">
        <v>44000</v>
      </c>
      <c r="G72" s="24">
        <f t="shared" si="3"/>
        <v>-5.3000000000000007</v>
      </c>
    </row>
    <row r="73" spans="1:7" x14ac:dyDescent="0.25">
      <c r="A73">
        <f t="shared" si="4"/>
        <v>72</v>
      </c>
      <c r="B73" s="24">
        <v>25.4</v>
      </c>
      <c r="C73" s="5" t="str">
        <v>Brooks Automation</v>
      </c>
      <c r="D73" t="str">
        <v>PreciseFlex DDR 6</v>
      </c>
      <c r="E73" t="str">
        <v>USA</v>
      </c>
      <c r="F73">
        <v>0</v>
      </c>
      <c r="G73" s="24">
        <f t="shared" si="3"/>
        <v>-5.4000000000000021</v>
      </c>
    </row>
    <row r="74" spans="1:7" x14ac:dyDescent="0.25">
      <c r="A74">
        <f t="shared" si="4"/>
        <v>72</v>
      </c>
      <c r="B74" s="24">
        <v>25.4</v>
      </c>
      <c r="C74" s="5" t="str">
        <v>Doosan Robotics</v>
      </c>
      <c r="D74" t="str">
        <v>M1509</v>
      </c>
      <c r="E74" t="str">
        <v>South Korea</v>
      </c>
      <c r="F74">
        <v>37500</v>
      </c>
      <c r="G74" s="24">
        <f t="shared" si="3"/>
        <v>-5.4000000000000021</v>
      </c>
    </row>
    <row r="75" spans="1:7" x14ac:dyDescent="0.25">
      <c r="A75">
        <f t="shared" si="4"/>
        <v>74</v>
      </c>
      <c r="B75" s="24">
        <v>25.3</v>
      </c>
      <c r="C75" s="5" t="str">
        <v>Hyundai Robotics</v>
      </c>
      <c r="D75" t="str">
        <v>YL015</v>
      </c>
      <c r="E75" t="str">
        <v>South Korea</v>
      </c>
      <c r="F75">
        <v>0</v>
      </c>
      <c r="G75" s="24">
        <f t="shared" si="3"/>
        <v>-5.5</v>
      </c>
    </row>
    <row r="76" spans="1:7" x14ac:dyDescent="0.25">
      <c r="A76">
        <f t="shared" si="4"/>
        <v>75</v>
      </c>
      <c r="B76" s="24">
        <v>25.2</v>
      </c>
      <c r="C76" s="5" t="str">
        <v>Doosan Robotics</v>
      </c>
      <c r="D76" t="str">
        <v>A0509</v>
      </c>
      <c r="E76" t="str">
        <v>South Korea</v>
      </c>
      <c r="F76">
        <v>22500</v>
      </c>
      <c r="G76" s="24">
        <f t="shared" si="3"/>
        <v>-5.6000000000000014</v>
      </c>
    </row>
    <row r="77" spans="1:7" x14ac:dyDescent="0.25">
      <c r="A77">
        <f t="shared" si="4"/>
        <v>75</v>
      </c>
      <c r="B77" s="24">
        <v>25.2</v>
      </c>
      <c r="C77" s="5" t="str">
        <v>Universal Robots</v>
      </c>
      <c r="D77" t="str">
        <v>UR16e</v>
      </c>
      <c r="E77" t="str">
        <v>Denmark</v>
      </c>
      <c r="F77">
        <v>43495</v>
      </c>
      <c r="G77" s="24">
        <f t="shared" si="3"/>
        <v>-5.6000000000000014</v>
      </c>
    </row>
    <row r="78" spans="1:7" x14ac:dyDescent="0.25">
      <c r="A78">
        <f t="shared" si="4"/>
        <v>77</v>
      </c>
      <c r="B78" s="24">
        <v>25.1</v>
      </c>
      <c r="C78" s="5" t="str">
        <v>Doosan Robotics</v>
      </c>
      <c r="D78" t="str">
        <v>H2515</v>
      </c>
      <c r="E78" t="str">
        <v>South Korea</v>
      </c>
      <c r="F78">
        <v>50500</v>
      </c>
      <c r="G78" s="24">
        <f t="shared" si="3"/>
        <v>-5.6999999999999993</v>
      </c>
    </row>
    <row r="79" spans="1:7" x14ac:dyDescent="0.25">
      <c r="A79">
        <f t="shared" si="4"/>
        <v>77</v>
      </c>
      <c r="B79" s="24">
        <v>25.1</v>
      </c>
      <c r="C79" s="5" t="str">
        <v>Fanuc</v>
      </c>
      <c r="D79" t="str">
        <v>CRX-5iA</v>
      </c>
      <c r="E79" t="str">
        <v>Japan</v>
      </c>
      <c r="F79">
        <v>32000</v>
      </c>
      <c r="G79" s="24">
        <f t="shared" si="3"/>
        <v>-5.6999999999999993</v>
      </c>
    </row>
    <row r="80" spans="1:7" x14ac:dyDescent="0.25">
      <c r="A80">
        <f t="shared" si="4"/>
        <v>77</v>
      </c>
      <c r="B80" s="24">
        <v>25.1</v>
      </c>
      <c r="C80" s="5" t="str">
        <v>Rainbow Robotics</v>
      </c>
      <c r="D80" t="str">
        <v>RB3-730</v>
      </c>
      <c r="E80" t="str">
        <v>South Korea</v>
      </c>
      <c r="F80">
        <v>20000</v>
      </c>
      <c r="G80" s="24">
        <f t="shared" si="3"/>
        <v>-5.6999999999999993</v>
      </c>
    </row>
    <row r="81" spans="1:7" x14ac:dyDescent="0.25">
      <c r="A81">
        <f t="shared" si="4"/>
        <v>80</v>
      </c>
      <c r="B81" s="24">
        <v>25</v>
      </c>
      <c r="C81" s="5" t="str">
        <v>DENSO Robotocs</v>
      </c>
      <c r="D81" t="str">
        <v>COBOTTA PRO 1300</v>
      </c>
      <c r="E81" t="str">
        <v>Japan</v>
      </c>
      <c r="F81">
        <v>0</v>
      </c>
      <c r="G81" s="24">
        <f t="shared" si="3"/>
        <v>-5.8000000000000007</v>
      </c>
    </row>
    <row r="82" spans="1:7" x14ac:dyDescent="0.25">
      <c r="A82">
        <f t="shared" si="4"/>
        <v>80</v>
      </c>
      <c r="B82" s="24">
        <v>25</v>
      </c>
      <c r="C82" s="5" t="str">
        <v>ROKAE</v>
      </c>
      <c r="D82" t="str">
        <v>SR4</v>
      </c>
      <c r="E82" t="str">
        <v>Germany</v>
      </c>
      <c r="F82">
        <v>13990</v>
      </c>
      <c r="G82" s="24">
        <f t="shared" si="3"/>
        <v>-5.8000000000000007</v>
      </c>
    </row>
    <row r="83" spans="1:7" x14ac:dyDescent="0.25">
      <c r="A83">
        <f t="shared" si="4"/>
        <v>82</v>
      </c>
      <c r="B83" s="24">
        <v>24.9</v>
      </c>
      <c r="C83" s="5" t="str">
        <v>Doosan Robotics</v>
      </c>
      <c r="D83" t="str">
        <v>M0609</v>
      </c>
      <c r="E83" t="str">
        <v>South Korea</v>
      </c>
      <c r="F83">
        <v>29500</v>
      </c>
      <c r="G83" s="24">
        <f t="shared" si="3"/>
        <v>-5.9000000000000021</v>
      </c>
    </row>
    <row r="84" spans="1:7" x14ac:dyDescent="0.25">
      <c r="A84">
        <f t="shared" si="4"/>
        <v>83</v>
      </c>
      <c r="B84" s="24">
        <v>24.8</v>
      </c>
      <c r="C84" s="5" t="str">
        <v>Brooks Automation</v>
      </c>
      <c r="D84" t="str">
        <v>PreciseFlex DDR 4</v>
      </c>
      <c r="E84" t="str">
        <v>USA</v>
      </c>
      <c r="F84">
        <v>0</v>
      </c>
      <c r="G84" s="24">
        <f t="shared" si="3"/>
        <v>-6</v>
      </c>
    </row>
    <row r="85" spans="1:7" x14ac:dyDescent="0.25">
      <c r="A85">
        <f t="shared" si="4"/>
        <v>83</v>
      </c>
      <c r="B85" s="24">
        <v>24.8</v>
      </c>
      <c r="C85" s="5" t="str">
        <v>DENSO Robotocs</v>
      </c>
      <c r="D85" t="str">
        <v>COBOTTA</v>
      </c>
      <c r="E85" t="str">
        <v>Japan</v>
      </c>
      <c r="F85">
        <v>14800</v>
      </c>
      <c r="G85" s="24">
        <f t="shared" si="3"/>
        <v>-6</v>
      </c>
    </row>
    <row r="86" spans="1:7" x14ac:dyDescent="0.25">
      <c r="A86">
        <f t="shared" si="4"/>
        <v>83</v>
      </c>
      <c r="B86" s="24">
        <v>24.8</v>
      </c>
      <c r="C86" s="5" t="str">
        <v>OMRON</v>
      </c>
      <c r="D86" t="str">
        <v>TM12S</v>
      </c>
      <c r="E86" t="str">
        <v>Japan</v>
      </c>
      <c r="F86">
        <v>0</v>
      </c>
      <c r="G86" s="24">
        <f t="shared" si="3"/>
        <v>-6</v>
      </c>
    </row>
    <row r="87" spans="1:7" x14ac:dyDescent="0.25">
      <c r="A87">
        <f t="shared" si="4"/>
        <v>83</v>
      </c>
      <c r="B87" s="24">
        <v>24.8</v>
      </c>
      <c r="C87" s="5" t="str">
        <v>Schneider Electric GmbH</v>
      </c>
      <c r="D87" t="str">
        <v>Lexium Cobot - 5</v>
      </c>
      <c r="E87" t="str">
        <v>Germany</v>
      </c>
      <c r="F87">
        <v>24500</v>
      </c>
      <c r="G87" s="24">
        <f t="shared" si="3"/>
        <v>-6</v>
      </c>
    </row>
    <row r="88" spans="1:7" x14ac:dyDescent="0.25">
      <c r="A88">
        <f t="shared" si="4"/>
        <v>83</v>
      </c>
      <c r="B88" s="24">
        <v>24.8</v>
      </c>
      <c r="C88" s="5" t="str">
        <v>Universal Robots</v>
      </c>
      <c r="D88" t="str">
        <v>UR3e</v>
      </c>
      <c r="E88" t="str">
        <v>Denmark</v>
      </c>
      <c r="F88">
        <v>27022</v>
      </c>
      <c r="G88" s="24">
        <f t="shared" si="3"/>
        <v>-6</v>
      </c>
    </row>
    <row r="89" spans="1:7" x14ac:dyDescent="0.25">
      <c r="A89">
        <f t="shared" si="4"/>
        <v>88</v>
      </c>
      <c r="B89" s="24">
        <v>24.6</v>
      </c>
      <c r="C89" s="5" t="str">
        <v>ABB</v>
      </c>
      <c r="D89" t="str">
        <v>GoFa CRB 15000 - 10kg</v>
      </c>
      <c r="E89" t="str">
        <v>Switzerland</v>
      </c>
      <c r="F89">
        <v>37500</v>
      </c>
      <c r="G89" s="24">
        <f t="shared" si="3"/>
        <v>-6.1999999999999993</v>
      </c>
    </row>
    <row r="90" spans="1:7" x14ac:dyDescent="0.25">
      <c r="A90">
        <f t="shared" si="4"/>
        <v>88</v>
      </c>
      <c r="B90" s="24">
        <v>24.6</v>
      </c>
      <c r="C90" s="5" t="str">
        <v>OMRON</v>
      </c>
      <c r="D90" t="str">
        <v>TM14S</v>
      </c>
      <c r="E90" t="str">
        <v>Japan</v>
      </c>
      <c r="F90">
        <v>0</v>
      </c>
      <c r="G90" s="24">
        <f t="shared" si="3"/>
        <v>-6.1999999999999993</v>
      </c>
    </row>
    <row r="91" spans="1:7" x14ac:dyDescent="0.25">
      <c r="A91">
        <f t="shared" si="4"/>
        <v>90</v>
      </c>
      <c r="B91" s="24">
        <v>24.5</v>
      </c>
      <c r="C91" s="5" t="str">
        <v>ABB</v>
      </c>
      <c r="D91" t="str">
        <v>SWIFTI CRB 1100-4/0.58</v>
      </c>
      <c r="E91" t="str">
        <v>Switzerland</v>
      </c>
      <c r="F91">
        <v>29300</v>
      </c>
      <c r="G91" s="24">
        <f t="shared" si="3"/>
        <v>-6.3000000000000007</v>
      </c>
    </row>
    <row r="92" spans="1:7" x14ac:dyDescent="0.25">
      <c r="A92">
        <f t="shared" si="4"/>
        <v>90</v>
      </c>
      <c r="B92" s="24">
        <v>24.5</v>
      </c>
      <c r="C92" s="5" t="str">
        <v>Dobot</v>
      </c>
      <c r="D92" t="str">
        <v>Nova 2</v>
      </c>
      <c r="E92" t="str">
        <v>China</v>
      </c>
      <c r="F92">
        <v>8920</v>
      </c>
      <c r="G92" s="24">
        <f t="shared" si="3"/>
        <v>-6.3000000000000007</v>
      </c>
    </row>
    <row r="93" spans="1:7" x14ac:dyDescent="0.25">
      <c r="A93">
        <f t="shared" si="4"/>
        <v>92</v>
      </c>
      <c r="B93" s="24">
        <v>24.4</v>
      </c>
      <c r="C93" s="5" t="str">
        <v>ABB</v>
      </c>
      <c r="D93" t="str">
        <v>SWIFTI CRB 1300-10/1.15</v>
      </c>
      <c r="E93" t="str">
        <v>Switzerland</v>
      </c>
      <c r="F93">
        <v>34500</v>
      </c>
      <c r="G93" s="24">
        <f t="shared" si="3"/>
        <v>-6.4000000000000021</v>
      </c>
    </row>
    <row r="94" spans="1:7" x14ac:dyDescent="0.25">
      <c r="A94">
        <f t="shared" si="4"/>
        <v>92</v>
      </c>
      <c r="B94" s="24">
        <v>24.4</v>
      </c>
      <c r="C94" s="5" t="str">
        <v>OMRON</v>
      </c>
      <c r="D94" t="str">
        <v>TM20</v>
      </c>
      <c r="E94" t="str">
        <v>Japan</v>
      </c>
      <c r="F94">
        <v>50650</v>
      </c>
      <c r="G94" s="24">
        <f t="shared" si="3"/>
        <v>-6.4000000000000021</v>
      </c>
    </row>
    <row r="95" spans="1:7" x14ac:dyDescent="0.25">
      <c r="A95">
        <f t="shared" si="4"/>
        <v>92</v>
      </c>
      <c r="B95" s="24">
        <v>24.4</v>
      </c>
      <c r="C95" s="5" t="str">
        <v>Schneider Electric GmbH</v>
      </c>
      <c r="D95" t="str">
        <v>Lexium Cobot - 7</v>
      </c>
      <c r="E95" t="str">
        <v>Germany</v>
      </c>
      <c r="F95">
        <v>27200</v>
      </c>
      <c r="G95" s="24">
        <f t="shared" si="3"/>
        <v>-6.4000000000000021</v>
      </c>
    </row>
    <row r="96" spans="1:7" x14ac:dyDescent="0.25">
      <c r="A96">
        <f t="shared" si="4"/>
        <v>95</v>
      </c>
      <c r="B96" s="24">
        <v>24.3</v>
      </c>
      <c r="C96" s="5" t="str">
        <v>ABB</v>
      </c>
      <c r="D96" t="str">
        <v>GoFa CRB 15000 - 5kg</v>
      </c>
      <c r="E96" t="str">
        <v>Switzerland</v>
      </c>
      <c r="F96">
        <v>30000</v>
      </c>
      <c r="G96" s="24">
        <f t="shared" si="3"/>
        <v>-6.5</v>
      </c>
    </row>
    <row r="97" spans="1:7" x14ac:dyDescent="0.25">
      <c r="A97">
        <f t="shared" si="4"/>
        <v>96</v>
      </c>
      <c r="B97" s="24">
        <v>24.2</v>
      </c>
      <c r="C97" s="5" t="str">
        <v>Hyundai Robotics</v>
      </c>
      <c r="D97" t="str">
        <v>YL012</v>
      </c>
      <c r="E97" t="str">
        <v>South Korea</v>
      </c>
      <c r="F97">
        <v>0</v>
      </c>
      <c r="G97" s="24">
        <f t="shared" si="3"/>
        <v>-6.6000000000000014</v>
      </c>
    </row>
    <row r="98" spans="1:7" x14ac:dyDescent="0.25">
      <c r="A98">
        <f t="shared" si="4"/>
        <v>96</v>
      </c>
      <c r="B98" s="24">
        <v>24.2</v>
      </c>
      <c r="C98" s="5" t="str">
        <v>Kassow Robots</v>
      </c>
      <c r="D98" t="str">
        <v>KR1018</v>
      </c>
      <c r="E98" t="str">
        <v>Denmark</v>
      </c>
      <c r="F98">
        <v>37500</v>
      </c>
      <c r="G98" s="24">
        <f t="shared" ref="G98:G129" si="5">B98-$B$2</f>
        <v>-6.6000000000000014</v>
      </c>
    </row>
    <row r="99" spans="1:7" x14ac:dyDescent="0.25">
      <c r="A99">
        <f t="shared" si="4"/>
        <v>98</v>
      </c>
      <c r="B99" s="24">
        <v>24.1</v>
      </c>
      <c r="C99" s="5" t="str">
        <v>JAKA</v>
      </c>
      <c r="D99" t="str">
        <v>MiniCobo</v>
      </c>
      <c r="E99" t="str">
        <v>Germany</v>
      </c>
      <c r="F99">
        <v>6500</v>
      </c>
      <c r="G99" s="24">
        <f t="shared" si="5"/>
        <v>-6.6999999999999993</v>
      </c>
    </row>
    <row r="100" spans="1:7" x14ac:dyDescent="0.25">
      <c r="A100">
        <f t="shared" si="4"/>
        <v>99</v>
      </c>
      <c r="B100" s="24">
        <v>24</v>
      </c>
      <c r="C100" s="5" t="str">
        <v>OMRON</v>
      </c>
      <c r="D100" t="str">
        <v>TM12</v>
      </c>
      <c r="E100" t="str">
        <v>Japan</v>
      </c>
      <c r="F100">
        <v>41680</v>
      </c>
      <c r="G100" s="24">
        <f t="shared" si="5"/>
        <v>-6.8000000000000007</v>
      </c>
    </row>
    <row r="101" spans="1:7" x14ac:dyDescent="0.25">
      <c r="A101">
        <f t="shared" si="4"/>
        <v>100</v>
      </c>
      <c r="B101" s="24">
        <v>23.9</v>
      </c>
      <c r="C101" s="5" t="str">
        <v>Kuka</v>
      </c>
      <c r="D101" t="str">
        <v>LBR iisy 11 R1300</v>
      </c>
      <c r="E101" t="str">
        <v>Germany</v>
      </c>
      <c r="F101">
        <v>29705</v>
      </c>
      <c r="G101" s="24">
        <f t="shared" si="5"/>
        <v>-6.9000000000000021</v>
      </c>
    </row>
    <row r="102" spans="1:7" x14ac:dyDescent="0.25">
      <c r="A102">
        <f t="shared" si="4"/>
        <v>100</v>
      </c>
      <c r="B102" s="24">
        <v>23.9</v>
      </c>
      <c r="C102" s="5" t="str">
        <v>Schneider Electric GmbH</v>
      </c>
      <c r="D102" t="str">
        <v>Lexium Cobot - 3</v>
      </c>
      <c r="E102" t="str">
        <v>Germany</v>
      </c>
      <c r="F102">
        <v>22900</v>
      </c>
      <c r="G102" s="24">
        <f t="shared" si="5"/>
        <v>-6.9000000000000021</v>
      </c>
    </row>
    <row r="103" spans="1:7" x14ac:dyDescent="0.25">
      <c r="A103">
        <f t="shared" si="4"/>
        <v>102</v>
      </c>
      <c r="B103" s="24">
        <v>23.8</v>
      </c>
      <c r="C103" s="5" t="str">
        <v>Hyundai Robotics</v>
      </c>
      <c r="D103" t="str">
        <v>YL005</v>
      </c>
      <c r="E103" t="str">
        <v>South Korea</v>
      </c>
      <c r="F103">
        <v>0</v>
      </c>
      <c r="G103" s="24">
        <f t="shared" si="5"/>
        <v>-7</v>
      </c>
    </row>
    <row r="104" spans="1:7" x14ac:dyDescent="0.25">
      <c r="A104">
        <f t="shared" si="4"/>
        <v>103</v>
      </c>
      <c r="B104" s="24">
        <v>23.7</v>
      </c>
      <c r="C104" s="5" t="str">
        <v>ABB</v>
      </c>
      <c r="D104" t="str">
        <v>SWIFTI CRB 1300-11/0.9</v>
      </c>
      <c r="E104" t="str">
        <v>Switzerland</v>
      </c>
      <c r="F104">
        <v>34500</v>
      </c>
      <c r="G104" s="24">
        <f t="shared" si="5"/>
        <v>-7.1000000000000014</v>
      </c>
    </row>
    <row r="105" spans="1:7" x14ac:dyDescent="0.25">
      <c r="A105">
        <f t="shared" si="4"/>
        <v>104</v>
      </c>
      <c r="B105" s="24">
        <v>23.6</v>
      </c>
      <c r="C105" s="5" t="str">
        <v>Hanwha Robotics</v>
      </c>
      <c r="D105" t="str">
        <v>HCR-14</v>
      </c>
      <c r="E105" t="str">
        <v>South Korea</v>
      </c>
      <c r="F105">
        <v>0</v>
      </c>
      <c r="G105" s="24">
        <f t="shared" si="5"/>
        <v>-7.1999999999999993</v>
      </c>
    </row>
    <row r="106" spans="1:7" x14ac:dyDescent="0.25">
      <c r="A106">
        <f t="shared" si="4"/>
        <v>104</v>
      </c>
      <c r="B106" s="24">
        <v>23.6</v>
      </c>
      <c r="C106" s="5" t="str">
        <v>Yaskawa</v>
      </c>
      <c r="D106" t="str">
        <v>MOTOMAN-HC30PL</v>
      </c>
      <c r="E106" t="str">
        <v>Japan</v>
      </c>
      <c r="F106">
        <v>0</v>
      </c>
      <c r="G106" s="24">
        <f t="shared" si="5"/>
        <v>-7.1999999999999993</v>
      </c>
    </row>
    <row r="107" spans="1:7" x14ac:dyDescent="0.25">
      <c r="A107">
        <f t="shared" si="4"/>
        <v>106</v>
      </c>
      <c r="B107" s="24">
        <v>23.5</v>
      </c>
      <c r="C107" s="5" t="str">
        <v>F&amp;P Robotics</v>
      </c>
      <c r="D107" t="str">
        <v>P-Rob Eco</v>
      </c>
      <c r="E107" t="str">
        <v>Switzerland</v>
      </c>
      <c r="F107">
        <v>26590</v>
      </c>
      <c r="G107" s="24">
        <f t="shared" si="5"/>
        <v>-7.3000000000000007</v>
      </c>
    </row>
    <row r="108" spans="1:7" x14ac:dyDescent="0.25">
      <c r="A108">
        <f t="shared" si="4"/>
        <v>107</v>
      </c>
      <c r="B108" s="24">
        <v>23.4</v>
      </c>
      <c r="C108" s="5" t="str">
        <v>Kassow Robots</v>
      </c>
      <c r="D108" t="str">
        <v>KR1410</v>
      </c>
      <c r="E108" t="str">
        <v>Denmark</v>
      </c>
      <c r="F108">
        <v>37500</v>
      </c>
      <c r="G108" s="24">
        <f t="shared" si="5"/>
        <v>-7.4000000000000021</v>
      </c>
    </row>
    <row r="109" spans="1:7" x14ac:dyDescent="0.25">
      <c r="A109">
        <f t="shared" si="4"/>
        <v>107</v>
      </c>
      <c r="B109" s="24">
        <v>23.4</v>
      </c>
      <c r="C109" s="5" t="str">
        <v>Kuka</v>
      </c>
      <c r="D109" t="str">
        <v>LBR iisy 15 R930</v>
      </c>
      <c r="E109" t="str">
        <v>Germany</v>
      </c>
      <c r="F109">
        <v>30915</v>
      </c>
      <c r="G109" s="24">
        <f t="shared" si="5"/>
        <v>-7.4000000000000021</v>
      </c>
    </row>
    <row r="110" spans="1:7" x14ac:dyDescent="0.25">
      <c r="A110">
        <f t="shared" si="4"/>
        <v>107</v>
      </c>
      <c r="B110" s="24">
        <v>23.4</v>
      </c>
      <c r="C110" s="5" t="str">
        <v>OMRON</v>
      </c>
      <c r="D110" t="str">
        <v>TM14</v>
      </c>
      <c r="E110" t="str">
        <v>Japan</v>
      </c>
      <c r="F110">
        <v>44210</v>
      </c>
      <c r="G110" s="24">
        <f t="shared" si="5"/>
        <v>-7.4000000000000021</v>
      </c>
    </row>
    <row r="111" spans="1:7" x14ac:dyDescent="0.25">
      <c r="A111">
        <f t="shared" si="4"/>
        <v>107</v>
      </c>
      <c r="B111" s="24">
        <v>23.4</v>
      </c>
      <c r="C111" s="5" t="str">
        <v>Yaskawa</v>
      </c>
      <c r="D111" t="str">
        <v>MOTOMAN-HC10DTP</v>
      </c>
      <c r="E111" t="str">
        <v>Japan</v>
      </c>
      <c r="F111">
        <v>38120</v>
      </c>
      <c r="G111" s="24">
        <f t="shared" si="5"/>
        <v>-7.4000000000000021</v>
      </c>
    </row>
    <row r="112" spans="1:7" x14ac:dyDescent="0.25">
      <c r="A112">
        <f t="shared" si="4"/>
        <v>111</v>
      </c>
      <c r="B112" s="24">
        <v>23.3</v>
      </c>
      <c r="C112" s="5" t="str">
        <v>Shenzhen Han's Robot Co.</v>
      </c>
      <c r="D112" t="str">
        <v>Elfin E05</v>
      </c>
      <c r="E112" t="str">
        <v>China</v>
      </c>
      <c r="F112">
        <v>0</v>
      </c>
      <c r="G112" s="24">
        <f t="shared" si="5"/>
        <v>-7.5</v>
      </c>
    </row>
    <row r="113" spans="1:7" x14ac:dyDescent="0.25">
      <c r="A113">
        <f t="shared" si="4"/>
        <v>112</v>
      </c>
      <c r="B113" s="24">
        <v>23.2</v>
      </c>
      <c r="C113" s="5" t="str">
        <v>Kassow Robots</v>
      </c>
      <c r="D113" t="str">
        <v>KR810</v>
      </c>
      <c r="E113" t="str">
        <v>Denmark</v>
      </c>
      <c r="F113">
        <v>29100</v>
      </c>
      <c r="G113" s="24">
        <f t="shared" si="5"/>
        <v>-7.6000000000000014</v>
      </c>
    </row>
    <row r="114" spans="1:7" x14ac:dyDescent="0.25">
      <c r="A114">
        <f t="shared" si="4"/>
        <v>113</v>
      </c>
      <c r="B114" s="24">
        <v>23.1</v>
      </c>
      <c r="C114" s="5" t="str">
        <v>Kuka</v>
      </c>
      <c r="D114" t="str">
        <v>LBR iisy 6 R1300</v>
      </c>
      <c r="E114" t="str">
        <v>Germany</v>
      </c>
      <c r="F114">
        <v>28085</v>
      </c>
      <c r="G114" s="24">
        <f t="shared" si="5"/>
        <v>-7.6999999999999993</v>
      </c>
    </row>
    <row r="115" spans="1:7" x14ac:dyDescent="0.25">
      <c r="A115">
        <f t="shared" si="4"/>
        <v>114</v>
      </c>
      <c r="B115" s="24">
        <v>23</v>
      </c>
      <c r="C115" s="5" t="str">
        <v>Kassow Robots</v>
      </c>
      <c r="D115" t="str">
        <v>KR1205</v>
      </c>
      <c r="E115" t="str">
        <v>Denmark</v>
      </c>
      <c r="F115">
        <v>31500</v>
      </c>
      <c r="G115" s="24">
        <f t="shared" si="5"/>
        <v>-7.8000000000000007</v>
      </c>
    </row>
    <row r="116" spans="1:7" x14ac:dyDescent="0.25">
      <c r="A116">
        <f t="shared" si="4"/>
        <v>114</v>
      </c>
      <c r="B116" s="24">
        <v>23</v>
      </c>
      <c r="C116" s="5" t="str">
        <v>OMRON</v>
      </c>
      <c r="D116" t="str">
        <v>TM5-900</v>
      </c>
      <c r="E116" t="str">
        <v>Japan</v>
      </c>
      <c r="F116">
        <v>30320</v>
      </c>
      <c r="G116" s="24">
        <f t="shared" si="5"/>
        <v>-7.8000000000000007</v>
      </c>
    </row>
    <row r="117" spans="1:7" x14ac:dyDescent="0.25">
      <c r="A117">
        <f t="shared" si="4"/>
        <v>116</v>
      </c>
      <c r="B117" s="24">
        <v>22.8</v>
      </c>
      <c r="C117" s="5" t="str">
        <v>Kassow Robots</v>
      </c>
      <c r="D117" t="str">
        <v>KR1805</v>
      </c>
      <c r="E117" t="str">
        <v>Denmark</v>
      </c>
      <c r="F117">
        <v>41500</v>
      </c>
      <c r="G117" s="24">
        <f t="shared" si="5"/>
        <v>-8</v>
      </c>
    </row>
    <row r="118" spans="1:7" x14ac:dyDescent="0.25">
      <c r="A118">
        <f t="shared" si="4"/>
        <v>116</v>
      </c>
      <c r="B118" s="24">
        <v>22.8</v>
      </c>
      <c r="C118" s="5" t="str">
        <v>OMRON</v>
      </c>
      <c r="D118" t="str">
        <v>TM5-700</v>
      </c>
      <c r="E118" t="str">
        <v>Japan</v>
      </c>
      <c r="F118">
        <v>30320</v>
      </c>
      <c r="G118" s="24">
        <f t="shared" si="5"/>
        <v>-8</v>
      </c>
    </row>
    <row r="119" spans="1:7" x14ac:dyDescent="0.25">
      <c r="A119">
        <f t="shared" si="4"/>
        <v>118</v>
      </c>
      <c r="B119" s="24">
        <v>22.7</v>
      </c>
      <c r="C119" s="5" t="str">
        <v>OMRON</v>
      </c>
      <c r="D119" t="str">
        <v>TM16</v>
      </c>
      <c r="E119" t="str">
        <v>Japan</v>
      </c>
      <c r="F119">
        <v>48050</v>
      </c>
      <c r="G119" s="24">
        <f t="shared" si="5"/>
        <v>-8.1000000000000014</v>
      </c>
    </row>
    <row r="120" spans="1:7" x14ac:dyDescent="0.25">
      <c r="A120">
        <f t="shared" si="4"/>
        <v>119</v>
      </c>
      <c r="B120" s="24">
        <v>22.6</v>
      </c>
      <c r="C120" s="5" t="str">
        <v>Kawasaki Robotics</v>
      </c>
      <c r="D120" t="str">
        <v>CL108N</v>
      </c>
      <c r="E120" t="str">
        <v>Japan</v>
      </c>
      <c r="F120">
        <v>0</v>
      </c>
      <c r="G120" s="24">
        <f t="shared" si="5"/>
        <v>-8.1999999999999993</v>
      </c>
    </row>
    <row r="121" spans="1:7" x14ac:dyDescent="0.25">
      <c r="A121">
        <f t="shared" si="4"/>
        <v>120</v>
      </c>
      <c r="B121" s="24">
        <v>22.5</v>
      </c>
      <c r="C121" s="5" t="str">
        <v>OMRON</v>
      </c>
      <c r="D121" t="str">
        <v>TM5S</v>
      </c>
      <c r="E121" t="str">
        <v>Japan</v>
      </c>
      <c r="F121">
        <v>0</v>
      </c>
      <c r="G121" s="24">
        <f t="shared" si="5"/>
        <v>-8.3000000000000007</v>
      </c>
    </row>
    <row r="122" spans="1:7" x14ac:dyDescent="0.25">
      <c r="A122">
        <f t="shared" si="4"/>
        <v>121</v>
      </c>
      <c r="B122" s="24">
        <v>22.3</v>
      </c>
      <c r="C122" s="5" t="str">
        <v>Kawasaki Robotics</v>
      </c>
      <c r="D122" t="str">
        <v>CL110N</v>
      </c>
      <c r="E122" t="str">
        <v>Japan</v>
      </c>
      <c r="F122">
        <v>0</v>
      </c>
      <c r="G122" s="24">
        <f t="shared" si="5"/>
        <v>-8.5</v>
      </c>
    </row>
    <row r="123" spans="1:7" x14ac:dyDescent="0.25">
      <c r="A123">
        <f t="shared" si="4"/>
        <v>121</v>
      </c>
      <c r="B123" s="24">
        <v>22.3</v>
      </c>
      <c r="C123" s="5" t="str">
        <v>Kuka</v>
      </c>
      <c r="D123" t="str">
        <v>LBR iisy 8 R930</v>
      </c>
      <c r="E123" t="str">
        <v>Germany</v>
      </c>
      <c r="F123">
        <v>28795</v>
      </c>
      <c r="G123" s="24">
        <f t="shared" si="5"/>
        <v>-8.5</v>
      </c>
    </row>
    <row r="124" spans="1:7" x14ac:dyDescent="0.25">
      <c r="A124">
        <f t="shared" si="4"/>
        <v>121</v>
      </c>
      <c r="B124" s="24">
        <v>22.3</v>
      </c>
      <c r="C124" s="5" t="str">
        <v>Yaskawa</v>
      </c>
      <c r="D124" t="str">
        <v>MOTOMAN-HC20SDTP</v>
      </c>
      <c r="E124" t="str">
        <v>Japan</v>
      </c>
      <c r="F124">
        <v>0</v>
      </c>
      <c r="G124" s="24">
        <f t="shared" si="5"/>
        <v>-8.5</v>
      </c>
    </row>
    <row r="125" spans="1:7" x14ac:dyDescent="0.25">
      <c r="A125">
        <f t="shared" si="4"/>
        <v>124</v>
      </c>
      <c r="B125" s="24">
        <v>22.2</v>
      </c>
      <c r="C125" s="5" t="str">
        <v>ABB</v>
      </c>
      <c r="D125" t="str">
        <v>YuMi IRB 14050</v>
      </c>
      <c r="E125" t="str">
        <v>Switzerland</v>
      </c>
      <c r="F125">
        <v>31000</v>
      </c>
      <c r="G125" s="24">
        <f t="shared" si="5"/>
        <v>-8.6000000000000014</v>
      </c>
    </row>
    <row r="126" spans="1:7" x14ac:dyDescent="0.25">
      <c r="A126">
        <f t="shared" si="4"/>
        <v>124</v>
      </c>
      <c r="B126" s="24">
        <v>22.2</v>
      </c>
      <c r="C126" s="5" t="str">
        <v>OMRON</v>
      </c>
      <c r="D126" t="str">
        <v>TM7S</v>
      </c>
      <c r="E126" t="str">
        <v>Japan</v>
      </c>
      <c r="F126">
        <v>0</v>
      </c>
      <c r="G126" s="24">
        <f t="shared" si="5"/>
        <v>-8.6000000000000014</v>
      </c>
    </row>
    <row r="127" spans="1:7" x14ac:dyDescent="0.25">
      <c r="A127">
        <f t="shared" si="4"/>
        <v>126</v>
      </c>
      <c r="B127" s="24">
        <v>21.9</v>
      </c>
      <c r="C127" s="5" t="str">
        <v>Yaskawa</v>
      </c>
      <c r="D127" t="str">
        <v>MOTOMAN-HC20DTP</v>
      </c>
      <c r="E127" t="str">
        <v>Japan</v>
      </c>
      <c r="F127">
        <v>52220</v>
      </c>
      <c r="G127" s="24">
        <f t="shared" si="5"/>
        <v>-8.9000000000000021</v>
      </c>
    </row>
    <row r="128" spans="1:7" x14ac:dyDescent="0.25">
      <c r="A128">
        <f t="shared" si="4"/>
        <v>127</v>
      </c>
      <c r="B128" s="24">
        <v>21.8</v>
      </c>
      <c r="C128" s="5" t="str">
        <v>ABB</v>
      </c>
      <c r="D128" t="str">
        <v>SWIFTI CRB 1300-7/1.4</v>
      </c>
      <c r="E128" t="str">
        <v>Switzerland</v>
      </c>
      <c r="F128">
        <v>34500</v>
      </c>
      <c r="G128" s="24">
        <f t="shared" si="5"/>
        <v>-9</v>
      </c>
    </row>
    <row r="129" spans="1:7" x14ac:dyDescent="0.25">
      <c r="A129">
        <f t="shared" si="4"/>
        <v>128</v>
      </c>
      <c r="B129" s="24">
        <v>21.6</v>
      </c>
      <c r="C129" s="5" t="str">
        <v>ESTUN</v>
      </c>
      <c r="D129" t="str">
        <v>S20-180 Pro</v>
      </c>
      <c r="E129" t="str">
        <v>China</v>
      </c>
      <c r="F129">
        <v>0</v>
      </c>
      <c r="G129" s="24">
        <f t="shared" si="5"/>
        <v>-9.1999999999999993</v>
      </c>
    </row>
    <row r="130" spans="1:7" x14ac:dyDescent="0.25">
      <c r="A130">
        <f t="shared" si="4"/>
        <v>129</v>
      </c>
      <c r="B130" s="24">
        <v>21.4</v>
      </c>
      <c r="C130" s="5" t="str">
        <v>Kuka</v>
      </c>
      <c r="D130" t="str">
        <v>LBR iiwa 14 R820</v>
      </c>
      <c r="E130" t="str">
        <v>Germany</v>
      </c>
      <c r="F130">
        <v>0</v>
      </c>
      <c r="G130" s="24">
        <f t="shared" ref="G130:G162" si="6">B130-$B$2</f>
        <v>-9.4000000000000021</v>
      </c>
    </row>
    <row r="131" spans="1:7" x14ac:dyDescent="0.25">
      <c r="A131">
        <f t="shared" ref="A131:A162" si="7">_xlfn.RANK.EQ(B131,$B$2:$B$162)</f>
        <v>129</v>
      </c>
      <c r="B131" s="24">
        <v>21.4</v>
      </c>
      <c r="C131" s="5" t="str">
        <v>NACHI Robotics</v>
      </c>
      <c r="D131" t="str">
        <v>CMZ05F</v>
      </c>
      <c r="E131" t="str">
        <v>Japan</v>
      </c>
      <c r="F131">
        <v>36000</v>
      </c>
      <c r="G131" s="24">
        <f t="shared" si="6"/>
        <v>-9.4000000000000021</v>
      </c>
    </row>
    <row r="132" spans="1:7" x14ac:dyDescent="0.25">
      <c r="A132">
        <f t="shared" si="7"/>
        <v>131</v>
      </c>
      <c r="B132" s="24">
        <v>21.3</v>
      </c>
      <c r="C132" s="5" t="str">
        <v>Kuka</v>
      </c>
      <c r="D132" t="str">
        <v>LBR iisy 3 R760</v>
      </c>
      <c r="E132" t="str">
        <v>Germany</v>
      </c>
      <c r="F132">
        <v>23445</v>
      </c>
      <c r="G132" s="24">
        <f t="shared" si="6"/>
        <v>-9.5</v>
      </c>
    </row>
    <row r="133" spans="1:7" x14ac:dyDescent="0.25">
      <c r="A133">
        <f t="shared" si="7"/>
        <v>132</v>
      </c>
      <c r="B133" s="24">
        <v>21.2</v>
      </c>
      <c r="C133" s="5" t="str">
        <v>Kawasaki Robotics</v>
      </c>
      <c r="D133" t="str">
        <v>CL105N</v>
      </c>
      <c r="E133" t="str">
        <v>Japan</v>
      </c>
      <c r="F133">
        <v>0</v>
      </c>
      <c r="G133" s="24">
        <f t="shared" si="6"/>
        <v>-9.6000000000000014</v>
      </c>
    </row>
    <row r="134" spans="1:7" x14ac:dyDescent="0.25">
      <c r="A134">
        <f t="shared" si="7"/>
        <v>132</v>
      </c>
      <c r="B134" s="24">
        <v>21.2</v>
      </c>
      <c r="C134" s="5" t="str">
        <v>Kuka</v>
      </c>
      <c r="D134" t="str">
        <v>LBR iiwa 7 R800</v>
      </c>
      <c r="E134" t="str">
        <v>Germany</v>
      </c>
      <c r="F134">
        <v>0</v>
      </c>
      <c r="G134" s="24">
        <f t="shared" si="6"/>
        <v>-9.6000000000000014</v>
      </c>
    </row>
    <row r="135" spans="1:7" x14ac:dyDescent="0.25">
      <c r="A135">
        <f t="shared" si="7"/>
        <v>134</v>
      </c>
      <c r="B135" s="24">
        <v>20.6</v>
      </c>
      <c r="C135" s="5" t="str">
        <v>ESTUN</v>
      </c>
      <c r="D135" t="str">
        <v>S10-140 Pro</v>
      </c>
      <c r="E135" t="str">
        <v>China</v>
      </c>
      <c r="F135">
        <v>0</v>
      </c>
      <c r="G135" s="24">
        <f t="shared" si="6"/>
        <v>-10.199999999999999</v>
      </c>
    </row>
    <row r="136" spans="1:7" x14ac:dyDescent="0.25">
      <c r="A136">
        <f t="shared" si="7"/>
        <v>134</v>
      </c>
      <c r="B136" s="24">
        <v>20.6</v>
      </c>
      <c r="C136" s="5" t="str">
        <v>ESTUN</v>
      </c>
      <c r="D136" t="str">
        <v>S20-180 Eco</v>
      </c>
      <c r="E136" t="str">
        <v>China</v>
      </c>
      <c r="F136">
        <v>0</v>
      </c>
      <c r="G136" s="24">
        <f t="shared" si="6"/>
        <v>-10.199999999999999</v>
      </c>
    </row>
    <row r="137" spans="1:7" x14ac:dyDescent="0.25">
      <c r="A137">
        <f t="shared" si="7"/>
        <v>134</v>
      </c>
      <c r="B137" s="24">
        <v>20.6</v>
      </c>
      <c r="C137" s="5" t="str">
        <v>NACHI Robotics</v>
      </c>
      <c r="D137" t="str">
        <v>CMZ12F</v>
      </c>
      <c r="E137" t="str">
        <v>Japan</v>
      </c>
      <c r="F137">
        <v>0</v>
      </c>
      <c r="G137" s="24">
        <f t="shared" si="6"/>
        <v>-10.199999999999999</v>
      </c>
    </row>
    <row r="138" spans="1:7" x14ac:dyDescent="0.25">
      <c r="A138">
        <f t="shared" si="7"/>
        <v>137</v>
      </c>
      <c r="B138" s="24">
        <v>20.5</v>
      </c>
      <c r="C138" s="5" t="str">
        <v>Kawasaki Robotics</v>
      </c>
      <c r="D138" t="str">
        <v>CL103N</v>
      </c>
      <c r="E138" t="str">
        <v>Japan</v>
      </c>
      <c r="F138">
        <v>0</v>
      </c>
      <c r="G138" s="24">
        <f t="shared" si="6"/>
        <v>-10.3</v>
      </c>
    </row>
    <row r="139" spans="1:7" x14ac:dyDescent="0.25">
      <c r="A139">
        <f t="shared" si="7"/>
        <v>138</v>
      </c>
      <c r="B139" s="24">
        <v>20.100000000000001</v>
      </c>
      <c r="C139" s="5" t="str">
        <v>OTC Daihen</v>
      </c>
      <c r="D139" t="str">
        <v>FD-VC4L</v>
      </c>
      <c r="E139" t="str">
        <v>Germany</v>
      </c>
      <c r="F139">
        <v>0</v>
      </c>
      <c r="G139" s="24">
        <f t="shared" si="6"/>
        <v>-10.7</v>
      </c>
    </row>
    <row r="140" spans="1:7" x14ac:dyDescent="0.25">
      <c r="A140">
        <f t="shared" si="7"/>
        <v>139</v>
      </c>
      <c r="B140" s="24">
        <v>19.899999999999999</v>
      </c>
      <c r="C140" s="5" t="str">
        <v>NACHI Robotics</v>
      </c>
      <c r="D140" t="str">
        <v>CZ10</v>
      </c>
      <c r="E140" t="str">
        <v>Japan</v>
      </c>
      <c r="F140">
        <v>0</v>
      </c>
      <c r="G140" s="24">
        <f t="shared" si="6"/>
        <v>-10.900000000000002</v>
      </c>
    </row>
    <row r="141" spans="1:7" x14ac:dyDescent="0.25">
      <c r="A141">
        <f t="shared" si="7"/>
        <v>140</v>
      </c>
      <c r="B141" s="24">
        <v>19.8</v>
      </c>
      <c r="C141" s="5" t="str">
        <v>Yaskawa</v>
      </c>
      <c r="D141" t="str">
        <v>MOTOMAN-HC10DTFP</v>
      </c>
      <c r="E141" t="str">
        <v>Japan</v>
      </c>
      <c r="F141">
        <v>0</v>
      </c>
      <c r="G141" s="24">
        <f t="shared" si="6"/>
        <v>-11</v>
      </c>
    </row>
    <row r="142" spans="1:7" x14ac:dyDescent="0.25">
      <c r="A142">
        <f t="shared" si="7"/>
        <v>141</v>
      </c>
      <c r="B142" s="24">
        <v>19.7</v>
      </c>
      <c r="C142" s="5" t="str">
        <v>Comau</v>
      </c>
      <c r="D142" t="str">
        <v>Racer-5</v>
      </c>
      <c r="E142" t="str">
        <v>Italy</v>
      </c>
      <c r="F142">
        <v>0</v>
      </c>
      <c r="G142" s="24">
        <f t="shared" si="6"/>
        <v>-11.100000000000001</v>
      </c>
    </row>
    <row r="143" spans="1:7" x14ac:dyDescent="0.25">
      <c r="A143">
        <f t="shared" si="7"/>
        <v>142</v>
      </c>
      <c r="B143" s="24">
        <v>19.600000000000001</v>
      </c>
      <c r="C143" s="5" t="str">
        <v>ESTUN</v>
      </c>
      <c r="D143" t="str">
        <v>S10-140 Eco</v>
      </c>
      <c r="E143" t="str">
        <v>China</v>
      </c>
      <c r="F143">
        <v>0</v>
      </c>
      <c r="G143" s="24">
        <f t="shared" si="6"/>
        <v>-11.2</v>
      </c>
    </row>
    <row r="144" spans="1:7" x14ac:dyDescent="0.25">
      <c r="A144">
        <f t="shared" si="7"/>
        <v>143</v>
      </c>
      <c r="B144" s="24">
        <v>19.5</v>
      </c>
      <c r="C144" s="5" t="str">
        <v>Brooks Automation</v>
      </c>
      <c r="D144" t="str">
        <v>PreciseFlex 3400</v>
      </c>
      <c r="E144" t="str">
        <v>USA</v>
      </c>
      <c r="F144">
        <v>0</v>
      </c>
      <c r="G144" s="24">
        <f t="shared" si="6"/>
        <v>-11.3</v>
      </c>
    </row>
    <row r="145" spans="1:7" x14ac:dyDescent="0.25">
      <c r="A145">
        <f t="shared" si="7"/>
        <v>144</v>
      </c>
      <c r="B145" s="24">
        <v>19.399999999999999</v>
      </c>
      <c r="C145" s="5" t="str">
        <v>ABB</v>
      </c>
      <c r="D145" t="str">
        <v>YuMi IRB 14000</v>
      </c>
      <c r="E145" t="str">
        <v>Switzerland</v>
      </c>
      <c r="F145">
        <v>51000</v>
      </c>
      <c r="G145" s="24">
        <f t="shared" si="6"/>
        <v>-11.400000000000002</v>
      </c>
    </row>
    <row r="146" spans="1:7" x14ac:dyDescent="0.25">
      <c r="A146">
        <f t="shared" si="7"/>
        <v>144</v>
      </c>
      <c r="B146" s="24">
        <v>19.399999999999999</v>
      </c>
      <c r="C146" s="5" t="str">
        <v>Kinova Robotics</v>
      </c>
      <c r="D146" t="str">
        <v>Gen3 lite</v>
      </c>
      <c r="E146" t="str">
        <v>Canada</v>
      </c>
      <c r="F146">
        <v>0</v>
      </c>
      <c r="G146" s="24">
        <f t="shared" si="6"/>
        <v>-11.400000000000002</v>
      </c>
    </row>
    <row r="147" spans="1:7" x14ac:dyDescent="0.25">
      <c r="A147">
        <f t="shared" si="7"/>
        <v>146</v>
      </c>
      <c r="B147" s="24">
        <v>18.899999999999999</v>
      </c>
      <c r="C147" s="5" t="str">
        <v>OTC Daihen</v>
      </c>
      <c r="D147" t="str">
        <v>FD-VC4</v>
      </c>
      <c r="E147" t="str">
        <v>Germany</v>
      </c>
      <c r="F147">
        <v>0</v>
      </c>
      <c r="G147" s="24">
        <f t="shared" si="6"/>
        <v>-11.900000000000002</v>
      </c>
    </row>
    <row r="148" spans="1:7" x14ac:dyDescent="0.25">
      <c r="A148">
        <f t="shared" si="7"/>
        <v>147</v>
      </c>
      <c r="B148" s="24">
        <v>18.8</v>
      </c>
      <c r="C148" s="5" t="str">
        <v>Neura Robotics</v>
      </c>
      <c r="D148" t="str">
        <v>4NE-1</v>
      </c>
      <c r="E148" t="str">
        <v>Germany</v>
      </c>
      <c r="F148">
        <v>0</v>
      </c>
      <c r="G148" s="24">
        <f t="shared" si="6"/>
        <v>-12</v>
      </c>
    </row>
    <row r="149" spans="1:7" x14ac:dyDescent="0.25">
      <c r="A149">
        <f t="shared" si="7"/>
        <v>148</v>
      </c>
      <c r="B149" s="24">
        <v>18.600000000000001</v>
      </c>
      <c r="C149" s="5" t="str">
        <v>ESTUN</v>
      </c>
      <c r="D149" t="str">
        <v>S5-90 Pro</v>
      </c>
      <c r="E149" t="str">
        <v>China</v>
      </c>
      <c r="F149">
        <v>0</v>
      </c>
      <c r="G149" s="24">
        <f t="shared" si="6"/>
        <v>-12.2</v>
      </c>
    </row>
    <row r="150" spans="1:7" x14ac:dyDescent="0.25">
      <c r="A150">
        <f t="shared" si="7"/>
        <v>149</v>
      </c>
      <c r="B150" s="24">
        <v>18.3</v>
      </c>
      <c r="C150" s="5" t="str">
        <v>Lebai Robotics</v>
      </c>
      <c r="D150" t="str">
        <v>LM3</v>
      </c>
      <c r="E150" t="str">
        <v>China</v>
      </c>
      <c r="F150">
        <v>9970</v>
      </c>
      <c r="G150" s="24">
        <f t="shared" si="6"/>
        <v>-12.5</v>
      </c>
    </row>
    <row r="151" spans="1:7" x14ac:dyDescent="0.25">
      <c r="A151">
        <f t="shared" si="7"/>
        <v>150</v>
      </c>
      <c r="B151" s="24">
        <v>17.600000000000001</v>
      </c>
      <c r="C151" s="5" t="str">
        <v>ESTUN</v>
      </c>
      <c r="D151" t="str">
        <v>S5-90 Eco</v>
      </c>
      <c r="E151" t="str">
        <v>China</v>
      </c>
      <c r="F151">
        <v>0</v>
      </c>
      <c r="G151" s="24">
        <f t="shared" si="6"/>
        <v>-13.2</v>
      </c>
    </row>
    <row r="152" spans="1:7" x14ac:dyDescent="0.25">
      <c r="A152">
        <f t="shared" si="7"/>
        <v>151</v>
      </c>
      <c r="B152" s="24">
        <v>17.399999999999999</v>
      </c>
      <c r="C152" s="5" t="str">
        <v>ESTUN</v>
      </c>
      <c r="D152" t="str">
        <v>S3-60 Pro</v>
      </c>
      <c r="E152" t="str">
        <v>China</v>
      </c>
      <c r="F152">
        <v>0</v>
      </c>
      <c r="G152" s="24">
        <f t="shared" si="6"/>
        <v>-13.400000000000002</v>
      </c>
    </row>
    <row r="153" spans="1:7" x14ac:dyDescent="0.25">
      <c r="A153">
        <f t="shared" si="7"/>
        <v>151</v>
      </c>
      <c r="B153" s="24">
        <v>17.399999999999999</v>
      </c>
      <c r="C153" s="5" t="str">
        <v>Flexiv</v>
      </c>
      <c r="D153" t="str">
        <v>Rizon 4</v>
      </c>
      <c r="E153" t="str">
        <v>China</v>
      </c>
      <c r="F153">
        <v>0</v>
      </c>
      <c r="G153" s="24">
        <f t="shared" si="6"/>
        <v>-13.400000000000002</v>
      </c>
    </row>
    <row r="154" spans="1:7" x14ac:dyDescent="0.25">
      <c r="A154">
        <f t="shared" si="7"/>
        <v>153</v>
      </c>
      <c r="B154" s="24">
        <v>16.399999999999999</v>
      </c>
      <c r="C154" s="5" t="str">
        <v>ESTUN</v>
      </c>
      <c r="D154" t="str">
        <v>S3-60 Eco</v>
      </c>
      <c r="E154" t="str">
        <v>China</v>
      </c>
      <c r="F154">
        <v>0</v>
      </c>
      <c r="G154" s="24">
        <f t="shared" si="6"/>
        <v>-14.400000000000002</v>
      </c>
    </row>
    <row r="155" spans="1:7" x14ac:dyDescent="0.25">
      <c r="A155">
        <f t="shared" si="7"/>
        <v>154</v>
      </c>
      <c r="B155" s="24">
        <v>12.5</v>
      </c>
      <c r="C155" s="5" t="str">
        <v>Kawasaki Robotics</v>
      </c>
      <c r="D155" t="str">
        <v>duAro1</v>
      </c>
      <c r="E155" t="str">
        <v>Japan</v>
      </c>
      <c r="F155">
        <v>0</v>
      </c>
      <c r="G155" s="24">
        <f t="shared" si="6"/>
        <v>-18.3</v>
      </c>
    </row>
    <row r="156" spans="1:7" x14ac:dyDescent="0.25">
      <c r="A156">
        <f t="shared" si="7"/>
        <v>155</v>
      </c>
      <c r="B156" s="24">
        <v>12.4</v>
      </c>
      <c r="C156" s="5" t="str">
        <v>Kawasaki Robotics</v>
      </c>
      <c r="D156" t="str">
        <v>duAro2</v>
      </c>
      <c r="E156" t="str">
        <v>Japan</v>
      </c>
      <c r="F156">
        <v>0</v>
      </c>
      <c r="G156" s="24">
        <f t="shared" si="6"/>
        <v>-18.399999999999999</v>
      </c>
    </row>
    <row r="157" spans="1:7" x14ac:dyDescent="0.25">
      <c r="A157">
        <f t="shared" si="7"/>
        <v>156</v>
      </c>
      <c r="B157" s="24">
        <v>12</v>
      </c>
      <c r="C157" s="5" t="str">
        <v>Neura Robotics</v>
      </c>
      <c r="D157" t="str">
        <v>MiPA</v>
      </c>
      <c r="E157" t="str">
        <v>Germany</v>
      </c>
      <c r="F157">
        <v>0</v>
      </c>
      <c r="G157" s="24">
        <f t="shared" si="6"/>
        <v>-18.8</v>
      </c>
    </row>
    <row r="158" spans="1:7" x14ac:dyDescent="0.25">
      <c r="A158">
        <f t="shared" si="7"/>
        <v>157</v>
      </c>
      <c r="B158" s="24">
        <v>8.4</v>
      </c>
      <c r="C158" s="5" t="str">
        <v>igus</v>
      </c>
      <c r="D158" t="str">
        <v>ReBeL-6DOF-OS</v>
      </c>
      <c r="E158" t="str">
        <v>Germany</v>
      </c>
      <c r="F158">
        <v>4200</v>
      </c>
      <c r="G158" s="24">
        <f t="shared" si="6"/>
        <v>-22.4</v>
      </c>
    </row>
    <row r="159" spans="1:7" x14ac:dyDescent="0.25">
      <c r="A159">
        <f t="shared" si="7"/>
        <v>158</v>
      </c>
      <c r="B159" s="24">
        <v>7.3</v>
      </c>
      <c r="C159" s="5" t="str">
        <v>igus</v>
      </c>
      <c r="D159" t="str">
        <v>ReBeL-4DOF-OS</v>
      </c>
      <c r="E159" t="str">
        <v>Germany</v>
      </c>
      <c r="F159">
        <v>2900</v>
      </c>
      <c r="G159" s="24">
        <f t="shared" si="6"/>
        <v>-23.5</v>
      </c>
    </row>
    <row r="160" spans="1:7" x14ac:dyDescent="0.25">
      <c r="A160">
        <f t="shared" si="7"/>
        <v>159</v>
      </c>
      <c r="B160" s="24">
        <v>6.3</v>
      </c>
      <c r="C160" s="5" t="str">
        <v>igus</v>
      </c>
      <c r="D160" t="str">
        <v>ReBeL-6DOF-02</v>
      </c>
      <c r="E160" t="str">
        <v>Germany</v>
      </c>
      <c r="F160">
        <v>4970</v>
      </c>
      <c r="G160" s="24">
        <f t="shared" si="6"/>
        <v>-24.5</v>
      </c>
    </row>
    <row r="161" spans="1:7" x14ac:dyDescent="0.25">
      <c r="A161">
        <f t="shared" si="7"/>
        <v>160</v>
      </c>
      <c r="B161" s="24">
        <v>5.0999999999999996</v>
      </c>
      <c r="C161" s="5" t="str">
        <v>igus</v>
      </c>
      <c r="D161" t="str">
        <v>ReBeL-4DOF-02</v>
      </c>
      <c r="E161" t="str">
        <v>Germany</v>
      </c>
      <c r="F161">
        <v>4250</v>
      </c>
      <c r="G161" s="24">
        <f t="shared" si="6"/>
        <v>-25.700000000000003</v>
      </c>
    </row>
    <row r="162" spans="1:7" x14ac:dyDescent="0.25">
      <c r="A162">
        <f t="shared" si="7"/>
        <v>161</v>
      </c>
      <c r="B162" s="24">
        <v>-7.3</v>
      </c>
      <c r="C162" s="5" t="str">
        <v>Comau</v>
      </c>
      <c r="D162" t="str">
        <v>Aura</v>
      </c>
      <c r="E162" t="str">
        <v>Italy</v>
      </c>
      <c r="F162">
        <v>0</v>
      </c>
      <c r="G162" s="24">
        <f t="shared" si="6"/>
        <v>-38.1</v>
      </c>
    </row>
  </sheetData>
  <mergeCells count="1">
    <mergeCell ref="J1:P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DCF5-85C6-4906-B3E4-3945CCA880A9}">
  <sheetPr>
    <tabColor theme="1" tint="0.34998626667073579"/>
  </sheetPr>
  <dimension ref="A1:M75"/>
  <sheetViews>
    <sheetView tabSelected="1" zoomScaleNormal="100" workbookViewId="0">
      <selection activeCell="D72" sqref="D72"/>
    </sheetView>
  </sheetViews>
  <sheetFormatPr defaultColWidth="9.140625" defaultRowHeight="15" x14ac:dyDescent="0.25"/>
  <cols>
    <col min="1" max="1" width="31.7109375" bestFit="1" customWidth="1"/>
    <col min="2" max="2" width="17" bestFit="1" customWidth="1"/>
    <col min="3" max="3" width="9.5703125" bestFit="1" customWidth="1"/>
    <col min="4" max="4" width="13.5703125" customWidth="1"/>
    <col min="5" max="5" width="10.85546875" bestFit="1" customWidth="1"/>
    <col min="6" max="6" width="10.5703125" bestFit="1" customWidth="1"/>
    <col min="7" max="7" width="7.42578125" bestFit="1" customWidth="1"/>
    <col min="8" max="8" width="16.85546875" bestFit="1" customWidth="1"/>
  </cols>
  <sheetData>
    <row r="1" spans="1:8" x14ac:dyDescent="0.25">
      <c r="A1" t="s">
        <v>447</v>
      </c>
    </row>
    <row r="2" spans="1:8" x14ac:dyDescent="0.25">
      <c r="A2" s="4" t="s">
        <v>394</v>
      </c>
      <c r="B2" s="4">
        <v>2023</v>
      </c>
      <c r="C2" s="4">
        <v>2022</v>
      </c>
      <c r="D2" s="4" t="s">
        <v>402</v>
      </c>
    </row>
    <row r="3" spans="1:8" x14ac:dyDescent="0.25">
      <c r="A3" s="4" t="s">
        <v>397</v>
      </c>
      <c r="B3" s="4">
        <v>135</v>
      </c>
      <c r="C3" s="4">
        <v>136</v>
      </c>
      <c r="D3" s="56">
        <f>100-B3*100/C3</f>
        <v>0.73529411764705799</v>
      </c>
    </row>
    <row r="4" spans="1:8" x14ac:dyDescent="0.25">
      <c r="A4" s="4" t="s">
        <v>398</v>
      </c>
      <c r="B4" s="4">
        <v>126</v>
      </c>
      <c r="C4" s="4">
        <v>157</v>
      </c>
      <c r="D4" s="56">
        <f>100-B4*100/C4</f>
        <v>19.745222929936304</v>
      </c>
    </row>
    <row r="5" spans="1:8" x14ac:dyDescent="0.25">
      <c r="A5" s="4" t="s">
        <v>395</v>
      </c>
      <c r="B5" s="4">
        <v>77</v>
      </c>
      <c r="C5" s="4">
        <v>66</v>
      </c>
      <c r="D5" s="56">
        <f t="shared" ref="D5:D9" si="0">100-B5*100/C5</f>
        <v>-16.666666666666671</v>
      </c>
    </row>
    <row r="6" spans="1:8" x14ac:dyDescent="0.25">
      <c r="A6" s="4" t="s">
        <v>396</v>
      </c>
      <c r="B6" s="4">
        <v>22</v>
      </c>
      <c r="C6" s="4">
        <v>24</v>
      </c>
      <c r="D6" s="56">
        <f t="shared" si="0"/>
        <v>8.3333333333333286</v>
      </c>
    </row>
    <row r="7" spans="1:8" x14ac:dyDescent="0.25">
      <c r="A7" s="4" t="s">
        <v>399</v>
      </c>
      <c r="B7" s="4">
        <v>15</v>
      </c>
      <c r="C7" s="4">
        <v>15</v>
      </c>
      <c r="D7" s="56">
        <f t="shared" si="0"/>
        <v>0</v>
      </c>
    </row>
    <row r="8" spans="1:8" x14ac:dyDescent="0.25">
      <c r="A8" s="4" t="s">
        <v>400</v>
      </c>
      <c r="B8" s="4">
        <v>75</v>
      </c>
      <c r="C8" s="4">
        <v>61</v>
      </c>
      <c r="D8" s="56">
        <f t="shared" si="0"/>
        <v>-22.950819672131146</v>
      </c>
    </row>
    <row r="9" spans="1:8" x14ac:dyDescent="0.25">
      <c r="A9" s="4" t="s">
        <v>401</v>
      </c>
      <c r="B9" s="4">
        <v>91</v>
      </c>
      <c r="C9" s="4">
        <v>94</v>
      </c>
      <c r="D9" s="56">
        <f t="shared" si="0"/>
        <v>3.1914893617021249</v>
      </c>
    </row>
    <row r="11" spans="1:8" x14ac:dyDescent="0.25">
      <c r="A11" t="s">
        <v>427</v>
      </c>
    </row>
    <row r="12" spans="1:8" x14ac:dyDescent="0.25">
      <c r="A12" s="4"/>
      <c r="B12" s="4" t="s">
        <v>231</v>
      </c>
      <c r="C12" s="4" t="s">
        <v>11</v>
      </c>
      <c r="D12" s="4" t="s">
        <v>232</v>
      </c>
      <c r="E12" s="4" t="s">
        <v>233</v>
      </c>
      <c r="F12" s="4" t="s">
        <v>234</v>
      </c>
      <c r="G12" s="4" t="s">
        <v>235</v>
      </c>
      <c r="H12" s="4" t="s">
        <v>425</v>
      </c>
    </row>
    <row r="13" spans="1:8" x14ac:dyDescent="0.25">
      <c r="A13" s="4" t="s">
        <v>380</v>
      </c>
      <c r="B13" s="4" cm="1">
        <f t="array" ref="B13:H14">Scores!N163:T164</f>
        <v>156</v>
      </c>
      <c r="C13" s="4">
        <v>64</v>
      </c>
      <c r="D13" s="4">
        <v>125</v>
      </c>
      <c r="E13" s="4">
        <v>143</v>
      </c>
      <c r="F13" s="4">
        <v>77</v>
      </c>
      <c r="G13" s="4">
        <v>26</v>
      </c>
      <c r="H13" s="4">
        <v>80</v>
      </c>
    </row>
    <row r="14" spans="1:8" x14ac:dyDescent="0.25">
      <c r="A14" s="4" t="s">
        <v>428</v>
      </c>
      <c r="B14" s="60">
        <v>0.96899999999999997</v>
      </c>
      <c r="C14" s="60">
        <v>0.39800000000000002</v>
      </c>
      <c r="D14" s="60">
        <v>0.77600000000000002</v>
      </c>
      <c r="E14" s="60">
        <v>0.88800000000000001</v>
      </c>
      <c r="F14" s="60">
        <v>0.47799999999999998</v>
      </c>
      <c r="G14" s="60">
        <v>0.161</v>
      </c>
      <c r="H14" s="60">
        <v>0.497</v>
      </c>
    </row>
    <row r="16" spans="1:8" x14ac:dyDescent="0.25">
      <c r="A16" t="s">
        <v>430</v>
      </c>
    </row>
    <row r="17" spans="1:13" x14ac:dyDescent="0.25">
      <c r="A17" s="4" t="s">
        <v>429</v>
      </c>
      <c r="B17" s="4" t="s">
        <v>392</v>
      </c>
      <c r="C17" s="4" t="s">
        <v>393</v>
      </c>
      <c r="D17" s="4" t="s">
        <v>389</v>
      </c>
      <c r="E17" s="4" t="s">
        <v>391</v>
      </c>
      <c r="F17" s="4" t="s">
        <v>390</v>
      </c>
      <c r="G17" s="4" t="s">
        <v>433</v>
      </c>
    </row>
    <row r="18" spans="1:13" x14ac:dyDescent="0.25">
      <c r="A18" s="4" t="s">
        <v>431</v>
      </c>
      <c r="B18" s="56" cm="1">
        <f t="array" ref="B18:C24">TRANSPOSE(Scores!D166:J167)</f>
        <v>2900</v>
      </c>
      <c r="C18" s="56">
        <v>54333</v>
      </c>
      <c r="D18" s="56" cm="1">
        <f t="array" ref="D18:F24">TRANSPOSE(Scores!D163:J165)</f>
        <v>28585.439655172413</v>
      </c>
      <c r="E18" s="56">
        <v>28107.5</v>
      </c>
      <c r="F18" s="56">
        <v>37500</v>
      </c>
      <c r="G18" s="4">
        <f>COUNT(Scores!D$2:D$162)</f>
        <v>116</v>
      </c>
    </row>
    <row r="19" spans="1:13" x14ac:dyDescent="0.25">
      <c r="A19" s="4" t="s">
        <v>244</v>
      </c>
      <c r="B19" s="56">
        <v>4</v>
      </c>
      <c r="C19" s="56">
        <v>1615</v>
      </c>
      <c r="D19" s="56">
        <v>50.166875000000012</v>
      </c>
      <c r="E19" s="56">
        <v>33.5</v>
      </c>
      <c r="F19" s="56">
        <v>23</v>
      </c>
      <c r="G19" s="4">
        <f>COUNT(Scores!E$2:E$162)</f>
        <v>160</v>
      </c>
    </row>
    <row r="20" spans="1:13" x14ac:dyDescent="0.25">
      <c r="A20" s="4" t="s">
        <v>432</v>
      </c>
      <c r="B20" s="57">
        <v>0.01</v>
      </c>
      <c r="C20" s="57">
        <v>1</v>
      </c>
      <c r="D20" s="57">
        <v>7.1379746835442986E-2</v>
      </c>
      <c r="E20" s="57">
        <v>0.03</v>
      </c>
      <c r="F20" s="57">
        <v>0.02</v>
      </c>
      <c r="G20" s="4">
        <f>COUNT(Scores!F$2:F$162)</f>
        <v>158</v>
      </c>
    </row>
    <row r="21" spans="1:13" x14ac:dyDescent="0.25">
      <c r="A21" s="4" t="s">
        <v>106</v>
      </c>
      <c r="B21" s="56">
        <v>0.5</v>
      </c>
      <c r="C21" s="56">
        <v>170</v>
      </c>
      <c r="D21" s="56">
        <v>10.953125</v>
      </c>
      <c r="E21" s="56">
        <v>8</v>
      </c>
      <c r="F21" s="56">
        <v>5</v>
      </c>
      <c r="G21" s="4">
        <f>COUNT(Scores!G$2:G$162)</f>
        <v>160</v>
      </c>
    </row>
    <row r="22" spans="1:13" x14ac:dyDescent="0.25">
      <c r="A22" s="4" t="s">
        <v>100</v>
      </c>
      <c r="B22" s="56">
        <v>4</v>
      </c>
      <c r="C22" s="56">
        <v>7</v>
      </c>
      <c r="D22" s="56">
        <v>6.0062893081761004</v>
      </c>
      <c r="E22" s="56">
        <v>6</v>
      </c>
      <c r="F22" s="56">
        <v>6</v>
      </c>
      <c r="G22" s="4">
        <f>COUNT(Scores!H$2:H$162)</f>
        <v>159</v>
      </c>
    </row>
    <row r="23" spans="1:13" x14ac:dyDescent="0.25">
      <c r="A23" s="4" t="s">
        <v>241</v>
      </c>
      <c r="B23" s="56">
        <v>343</v>
      </c>
      <c r="C23" s="56">
        <v>2790</v>
      </c>
      <c r="D23" s="56">
        <v>1095.738113207547</v>
      </c>
      <c r="E23" s="56">
        <v>967.5</v>
      </c>
      <c r="F23" s="56">
        <v>1300</v>
      </c>
      <c r="G23" s="4">
        <f>COUNT(Scores!I$2:I$162)</f>
        <v>159</v>
      </c>
    </row>
    <row r="24" spans="1:13" x14ac:dyDescent="0.25">
      <c r="A24" s="4" t="s">
        <v>245</v>
      </c>
      <c r="B24" s="56">
        <v>1</v>
      </c>
      <c r="C24" s="56">
        <v>2</v>
      </c>
      <c r="D24" s="56">
        <v>1.0248447204968945</v>
      </c>
      <c r="E24" s="56">
        <v>1</v>
      </c>
      <c r="F24" s="56">
        <v>1</v>
      </c>
      <c r="G24" s="4">
        <f>COUNT(Scores!J$2:J$162)</f>
        <v>161</v>
      </c>
    </row>
    <row r="26" spans="1:13" x14ac:dyDescent="0.25">
      <c r="A26" s="69" t="s">
        <v>440</v>
      </c>
      <c r="B26" s="69"/>
      <c r="C26" s="69"/>
      <c r="D26" s="69"/>
      <c r="E26" s="69"/>
      <c r="F26" s="69"/>
      <c r="H26" s="53" t="s">
        <v>457</v>
      </c>
      <c r="I26" s="53"/>
      <c r="J26" s="53"/>
      <c r="K26" s="53"/>
      <c r="L26" s="53"/>
      <c r="M26" s="53"/>
    </row>
    <row r="43" spans="1:1" x14ac:dyDescent="0.25">
      <c r="A43" s="53" t="s">
        <v>434</v>
      </c>
    </row>
    <row r="60" spans="1:6" x14ac:dyDescent="0.25">
      <c r="A60" t="s">
        <v>451</v>
      </c>
      <c r="D60" t="s">
        <v>450</v>
      </c>
    </row>
    <row r="61" spans="1:6" x14ac:dyDescent="0.25">
      <c r="A61" t="s">
        <v>451</v>
      </c>
      <c r="B61" t="s">
        <v>433</v>
      </c>
      <c r="C61" t="s">
        <v>428</v>
      </c>
      <c r="D61" t="s">
        <v>8</v>
      </c>
      <c r="E61" t="s">
        <v>380</v>
      </c>
      <c r="F61" t="s">
        <v>428</v>
      </c>
    </row>
    <row r="62" spans="1:6" x14ac:dyDescent="0.25">
      <c r="A62" t="str" cm="1">
        <f t="array" ref="A62:A71">_xlfn.UNIQUE(Scores!C2:C162)</f>
        <v>Switzerland</v>
      </c>
      <c r="B62">
        <f>COUNTIF(Scores!$C$2:$C$162,A62)</f>
        <v>10</v>
      </c>
      <c r="C62" s="55">
        <f>B62/RawCobots!$D$182</f>
        <v>6.2111801242236024E-2</v>
      </c>
      <c r="D62" t="str" cm="1">
        <f t="array" ref="D62:F71">_xlfn.SORTBY(A62:C71,B62:B71,-1)</f>
        <v>Germany</v>
      </c>
      <c r="E62">
        <v>48</v>
      </c>
      <c r="F62" s="55">
        <v>0.29813664596273293</v>
      </c>
    </row>
    <row r="63" spans="1:6" x14ac:dyDescent="0.25">
      <c r="A63" t="str">
        <v>Germany</v>
      </c>
      <c r="B63">
        <f>COUNTIF(Scores!$C$2:$C$162,A63)</f>
        <v>48</v>
      </c>
      <c r="C63" s="55">
        <f>B63/RawCobots!$D$182</f>
        <v>0.29813664596273293</v>
      </c>
      <c r="D63" t="str">
        <v>Japan</v>
      </c>
      <c r="E63">
        <v>34</v>
      </c>
      <c r="F63" s="55">
        <v>0.21118012422360249</v>
      </c>
    </row>
    <row r="64" spans="1:6" x14ac:dyDescent="0.25">
      <c r="A64" t="str">
        <v>USA</v>
      </c>
      <c r="B64">
        <f>COUNTIF(Scores!$C$2:$C$162,A64)</f>
        <v>8</v>
      </c>
      <c r="C64" s="55">
        <f>B64/RawCobots!$D$182</f>
        <v>4.9689440993788817E-2</v>
      </c>
      <c r="D64" t="str">
        <v>China</v>
      </c>
      <c r="E64">
        <v>27</v>
      </c>
      <c r="F64" s="55">
        <v>0.16770186335403728</v>
      </c>
    </row>
    <row r="65" spans="1:6" x14ac:dyDescent="0.25">
      <c r="A65" t="str">
        <v>Italy</v>
      </c>
      <c r="B65">
        <f>COUNTIF(Scores!$C$2:$C$162,A65)</f>
        <v>2</v>
      </c>
      <c r="C65" s="55">
        <f>B65/RawCobots!$D$182</f>
        <v>1.2422360248447204E-2</v>
      </c>
      <c r="D65" t="str">
        <v>South Korea</v>
      </c>
      <c r="E65">
        <v>13</v>
      </c>
      <c r="F65" s="55">
        <v>8.0745341614906832E-2</v>
      </c>
    </row>
    <row r="66" spans="1:6" x14ac:dyDescent="0.25">
      <c r="A66" t="str">
        <v>Taiwan</v>
      </c>
      <c r="B66">
        <f>COUNTIF(Scores!$C$2:$C$162,A66)</f>
        <v>7</v>
      </c>
      <c r="C66" s="55">
        <f>B66/RawCobots!$D$182</f>
        <v>4.3478260869565216E-2</v>
      </c>
      <c r="D66" t="str">
        <v>Denmark</v>
      </c>
      <c r="E66">
        <v>11</v>
      </c>
      <c r="F66" s="55">
        <v>6.8322981366459631E-2</v>
      </c>
    </row>
    <row r="67" spans="1:6" x14ac:dyDescent="0.25">
      <c r="A67" t="str">
        <v>Japan</v>
      </c>
      <c r="B67">
        <f>COUNTIF(Scores!$C$2:$C$162,A67)</f>
        <v>34</v>
      </c>
      <c r="C67" s="55">
        <f>B67/RawCobots!$D$182</f>
        <v>0.21118012422360249</v>
      </c>
      <c r="D67" t="str">
        <v>Switzerland</v>
      </c>
      <c r="E67">
        <v>10</v>
      </c>
      <c r="F67" s="55">
        <v>6.2111801242236024E-2</v>
      </c>
    </row>
    <row r="68" spans="1:6" x14ac:dyDescent="0.25">
      <c r="A68" t="str">
        <v>China</v>
      </c>
      <c r="B68">
        <f>COUNTIF(Scores!$C$2:$C$162,A68)</f>
        <v>27</v>
      </c>
      <c r="C68" s="55">
        <f>B68/RawCobots!$D$182</f>
        <v>0.16770186335403728</v>
      </c>
      <c r="D68" t="str">
        <v>USA</v>
      </c>
      <c r="E68">
        <v>8</v>
      </c>
      <c r="F68" s="55">
        <v>4.9689440993788817E-2</v>
      </c>
    </row>
    <row r="69" spans="1:6" x14ac:dyDescent="0.25">
      <c r="A69" t="str">
        <v>South Korea</v>
      </c>
      <c r="B69">
        <f>COUNTIF(Scores!$C$2:$C$162,A69)</f>
        <v>13</v>
      </c>
      <c r="C69" s="55">
        <f>B69/RawCobots!$D$182</f>
        <v>8.0745341614906832E-2</v>
      </c>
      <c r="D69" t="str">
        <v>Taiwan</v>
      </c>
      <c r="E69">
        <v>7</v>
      </c>
      <c r="F69" s="55">
        <v>4.3478260869565216E-2</v>
      </c>
    </row>
    <row r="70" spans="1:6" x14ac:dyDescent="0.25">
      <c r="A70" t="str">
        <v>Denmark</v>
      </c>
      <c r="B70">
        <f>COUNTIF(Scores!$C$2:$C$162,A70)</f>
        <v>11</v>
      </c>
      <c r="C70" s="55">
        <f>B70/RawCobots!$D$182</f>
        <v>6.8322981366459631E-2</v>
      </c>
      <c r="D70" t="str">
        <v>Italy</v>
      </c>
      <c r="E70">
        <v>2</v>
      </c>
      <c r="F70" s="55">
        <v>1.2422360248447204E-2</v>
      </c>
    </row>
    <row r="71" spans="1:6" x14ac:dyDescent="0.25">
      <c r="A71" t="str">
        <v>Canada</v>
      </c>
      <c r="B71">
        <f>COUNTIF(Scores!$C$2:$C$162,A71)</f>
        <v>1</v>
      </c>
      <c r="C71" s="55">
        <f>B71/RawCobots!$D$182</f>
        <v>6.2111801242236021E-3</v>
      </c>
      <c r="D71" t="str">
        <v>Canada</v>
      </c>
      <c r="E71">
        <v>1</v>
      </c>
      <c r="F71" s="55">
        <v>6.2111801242236021E-3</v>
      </c>
    </row>
    <row r="72" spans="1:6" x14ac:dyDescent="0.25">
      <c r="D72" t="s">
        <v>456</v>
      </c>
    </row>
    <row r="73" spans="1:6" x14ac:dyDescent="0.25">
      <c r="D73" t="s">
        <v>452</v>
      </c>
      <c r="E73">
        <f>B62+B63+B65+B70</f>
        <v>71</v>
      </c>
      <c r="F73" s="55">
        <f>E73/RawCobots!$D$182</f>
        <v>0.44099378881987578</v>
      </c>
    </row>
    <row r="74" spans="1:6" x14ac:dyDescent="0.25">
      <c r="D74" t="s">
        <v>453</v>
      </c>
      <c r="E74">
        <f>B66+B68+B69+B67</f>
        <v>81</v>
      </c>
      <c r="F74" s="55">
        <f>E74/RawCobots!$D$182</f>
        <v>0.50310559006211175</v>
      </c>
    </row>
    <row r="75" spans="1:6" x14ac:dyDescent="0.25">
      <c r="D75" t="s">
        <v>454</v>
      </c>
      <c r="E75">
        <f>B64+B71</f>
        <v>9</v>
      </c>
      <c r="F75" s="55">
        <f>E75/RawCobots!$D$182</f>
        <v>5.5900621118012424E-2</v>
      </c>
    </row>
  </sheetData>
  <mergeCells count="1">
    <mergeCell ref="A26:F2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A1:AD182"/>
  <sheetViews>
    <sheetView zoomScale="70" zoomScaleNormal="70" workbookViewId="0">
      <pane ySplit="1" topLeftCell="A131" activePane="bottomLeft" state="frozen"/>
      <selection pane="bottomLeft" activeCell="U171" sqref="U171"/>
    </sheetView>
  </sheetViews>
  <sheetFormatPr defaultColWidth="9.140625" defaultRowHeight="15" x14ac:dyDescent="0.25"/>
  <cols>
    <col min="1" max="1" width="27.85546875" customWidth="1"/>
    <col min="2" max="2" width="29.7109375" customWidth="1"/>
    <col min="3" max="3" width="22" customWidth="1"/>
    <col min="4" max="4" width="9.140625" style="5"/>
    <col min="6" max="6" width="12.140625" style="5" bestFit="1" customWidth="1"/>
    <col min="7" max="7" width="11.5703125" bestFit="1" customWidth="1"/>
    <col min="8" max="8" width="10.140625" bestFit="1" customWidth="1"/>
    <col min="9" max="9" width="14.42578125" bestFit="1" customWidth="1"/>
    <col min="10" max="10" width="13" bestFit="1" customWidth="1"/>
    <col min="11" max="11" width="5.28515625" bestFit="1" customWidth="1"/>
    <col min="12" max="12" width="12.5703125" bestFit="1" customWidth="1"/>
    <col min="13" max="13" width="6" bestFit="1" customWidth="1"/>
    <col min="14" max="14" width="17.28515625" bestFit="1" customWidth="1"/>
    <col min="15" max="15" width="11.5703125" bestFit="1" customWidth="1"/>
    <col min="16" max="16" width="11.140625" bestFit="1" customWidth="1"/>
    <col min="17" max="23" width="10.7109375" customWidth="1"/>
    <col min="24" max="24" width="11.5703125" bestFit="1" customWidth="1"/>
    <col min="25" max="25" width="8.7109375" bestFit="1" customWidth="1"/>
    <col min="26" max="26" width="11.140625" style="16" customWidth="1"/>
    <col min="27" max="27" width="22.5703125" customWidth="1"/>
    <col min="28" max="28" width="7.28515625" bestFit="1" customWidth="1"/>
  </cols>
  <sheetData>
    <row r="1" spans="1:30" s="2" customFormat="1" ht="15" customHeight="1" thickBot="1" x14ac:dyDescent="0.3">
      <c r="A1" s="2" t="s">
        <v>0</v>
      </c>
      <c r="B1" s="2" t="s">
        <v>1</v>
      </c>
      <c r="C1" s="2" t="s">
        <v>179</v>
      </c>
      <c r="D1" s="6" t="s">
        <v>238</v>
      </c>
      <c r="E1" s="2" t="s">
        <v>240</v>
      </c>
      <c r="F1" s="6" t="s">
        <v>254</v>
      </c>
      <c r="G1" s="2" t="s">
        <v>243</v>
      </c>
      <c r="H1" s="2" t="s">
        <v>244</v>
      </c>
      <c r="I1" s="2" t="s">
        <v>252</v>
      </c>
      <c r="J1" s="2" t="s">
        <v>106</v>
      </c>
      <c r="K1" s="2" t="s">
        <v>100</v>
      </c>
      <c r="L1" s="2" t="s">
        <v>241</v>
      </c>
      <c r="M1" s="2" t="s">
        <v>245</v>
      </c>
      <c r="N1" s="2" t="s">
        <v>308</v>
      </c>
      <c r="O1" s="2" t="s">
        <v>306</v>
      </c>
      <c r="P1" s="2" t="s">
        <v>253</v>
      </c>
      <c r="Q1" s="2" t="s">
        <v>246</v>
      </c>
      <c r="R1" s="2" t="s">
        <v>247</v>
      </c>
      <c r="S1" s="2" t="s">
        <v>232</v>
      </c>
      <c r="T1" s="2" t="s">
        <v>248</v>
      </c>
      <c r="U1" s="2" t="s">
        <v>249</v>
      </c>
      <c r="V1" s="2" t="s">
        <v>250</v>
      </c>
      <c r="W1" s="2" t="s">
        <v>251</v>
      </c>
      <c r="X1" s="2" t="s">
        <v>300</v>
      </c>
      <c r="Y1" s="2" t="s">
        <v>178</v>
      </c>
      <c r="Z1" s="6" t="s">
        <v>140</v>
      </c>
      <c r="AA1" s="2" t="s">
        <v>8</v>
      </c>
      <c r="AB1" s="3" t="s">
        <v>180</v>
      </c>
      <c r="AC1" s="2" t="s">
        <v>320</v>
      </c>
      <c r="AD1" s="2" t="s">
        <v>236</v>
      </c>
    </row>
    <row r="2" spans="1:30" x14ac:dyDescent="0.25">
      <c r="A2" t="s">
        <v>2</v>
      </c>
      <c r="B2" t="s">
        <v>101</v>
      </c>
      <c r="C2" s="17" t="s">
        <v>75</v>
      </c>
      <c r="D2" s="5" t="s">
        <v>239</v>
      </c>
      <c r="E2" t="s">
        <v>239</v>
      </c>
      <c r="F2" s="5">
        <v>30000</v>
      </c>
      <c r="H2">
        <v>28</v>
      </c>
      <c r="I2">
        <v>0.02</v>
      </c>
      <c r="J2">
        <v>5</v>
      </c>
      <c r="K2">
        <v>6</v>
      </c>
      <c r="L2">
        <v>950</v>
      </c>
      <c r="M2">
        <v>1</v>
      </c>
      <c r="N2" t="s">
        <v>258</v>
      </c>
      <c r="O2" cm="1">
        <f t="array" ref="O2">INDEX(DataValidation!$B$2:$B$11, _xlfn.XMATCH(N2, DataValidation!$A$2:$A$11))</f>
        <v>2</v>
      </c>
      <c r="P2">
        <v>0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2</v>
      </c>
      <c r="Z2" s="16" t="s">
        <v>104</v>
      </c>
      <c r="AA2" t="s">
        <v>326</v>
      </c>
      <c r="AB2">
        <v>3</v>
      </c>
    </row>
    <row r="3" spans="1:30" x14ac:dyDescent="0.25">
      <c r="A3" t="s">
        <v>2</v>
      </c>
      <c r="B3" t="s">
        <v>102</v>
      </c>
      <c r="C3" s="17"/>
      <c r="D3" s="5" t="s">
        <v>239</v>
      </c>
      <c r="E3" t="s">
        <v>257</v>
      </c>
      <c r="F3" s="5">
        <v>37500</v>
      </c>
      <c r="H3">
        <v>48</v>
      </c>
      <c r="I3">
        <v>0.02</v>
      </c>
      <c r="J3">
        <v>10</v>
      </c>
      <c r="K3">
        <v>6</v>
      </c>
      <c r="L3">
        <v>1270</v>
      </c>
      <c r="M3">
        <v>1</v>
      </c>
      <c r="N3" t="s">
        <v>258</v>
      </c>
      <c r="O3" cm="1">
        <f t="array" ref="O3">INDEX(DataValidation!$B$2:$B$11, _xlfn.XMATCH(N3, DataValidation!$A$2:$A$11))</f>
        <v>2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2</v>
      </c>
      <c r="Z3" s="16" t="s">
        <v>105</v>
      </c>
      <c r="AA3" t="s">
        <v>326</v>
      </c>
      <c r="AB3">
        <v>3</v>
      </c>
    </row>
    <row r="4" spans="1:30" x14ac:dyDescent="0.25">
      <c r="A4" t="s">
        <v>2</v>
      </c>
      <c r="B4" t="s">
        <v>103</v>
      </c>
      <c r="C4" s="17"/>
      <c r="D4" s="5" t="s">
        <v>239</v>
      </c>
      <c r="E4" t="s">
        <v>257</v>
      </c>
      <c r="F4" s="5">
        <v>37500</v>
      </c>
      <c r="H4">
        <v>51</v>
      </c>
      <c r="I4">
        <v>0.02</v>
      </c>
      <c r="J4">
        <v>12</v>
      </c>
      <c r="K4">
        <v>6</v>
      </c>
      <c r="L4">
        <v>1520</v>
      </c>
      <c r="M4">
        <v>1</v>
      </c>
      <c r="N4" t="s">
        <v>258</v>
      </c>
      <c r="O4" cm="1">
        <f t="array" ref="O4">INDEX(DataValidation!$B$2:$B$11, _xlfn.XMATCH(N4, DataValidation!$A$2:$A$11))</f>
        <v>2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2</v>
      </c>
      <c r="Z4" s="16" t="s">
        <v>105</v>
      </c>
      <c r="AA4" t="s">
        <v>326</v>
      </c>
      <c r="AB4">
        <v>3</v>
      </c>
    </row>
    <row r="5" spans="1:30" x14ac:dyDescent="0.25">
      <c r="A5" t="s">
        <v>2</v>
      </c>
      <c r="B5" t="s">
        <v>256</v>
      </c>
      <c r="C5" s="17" t="s">
        <v>77</v>
      </c>
      <c r="D5" s="5" t="s">
        <v>239</v>
      </c>
      <c r="E5" t="s">
        <v>239</v>
      </c>
      <c r="F5" s="5">
        <v>31000</v>
      </c>
      <c r="H5">
        <v>9.5</v>
      </c>
      <c r="I5">
        <v>0.02</v>
      </c>
      <c r="J5">
        <v>0.5</v>
      </c>
      <c r="K5">
        <v>7</v>
      </c>
      <c r="L5">
        <v>559</v>
      </c>
      <c r="M5">
        <v>1</v>
      </c>
      <c r="N5" t="s">
        <v>258</v>
      </c>
      <c r="O5" cm="1">
        <f t="array" ref="O5">INDEX(DataValidation!$B$2:$B$11, _xlfn.XMATCH(N5, DataValidation!$A$2:$A$11))</f>
        <v>2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 s="16" t="s">
        <v>104</v>
      </c>
      <c r="AA5" t="s">
        <v>326</v>
      </c>
      <c r="AB5">
        <v>3</v>
      </c>
    </row>
    <row r="6" spans="1:30" x14ac:dyDescent="0.25">
      <c r="A6" t="s">
        <v>2</v>
      </c>
      <c r="B6" t="s">
        <v>255</v>
      </c>
      <c r="C6" s="17" t="s">
        <v>76</v>
      </c>
      <c r="D6" s="5" t="s">
        <v>239</v>
      </c>
      <c r="E6" t="s">
        <v>239</v>
      </c>
      <c r="F6" s="5">
        <v>51000</v>
      </c>
      <c r="H6">
        <v>38</v>
      </c>
      <c r="I6">
        <v>0.02</v>
      </c>
      <c r="J6">
        <v>0.5</v>
      </c>
      <c r="K6">
        <v>7</v>
      </c>
      <c r="L6">
        <v>559</v>
      </c>
      <c r="M6">
        <v>2</v>
      </c>
      <c r="N6" t="s">
        <v>258</v>
      </c>
      <c r="O6" cm="1">
        <f t="array" ref="O6">INDEX(DataValidation!$B$2:$B$11, _xlfn.XMATCH(N6, DataValidation!$A$2:$A$11))</f>
        <v>2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 s="16" t="s">
        <v>107</v>
      </c>
      <c r="AA6" t="s">
        <v>326</v>
      </c>
      <c r="AB6">
        <v>3</v>
      </c>
    </row>
    <row r="7" spans="1:30" x14ac:dyDescent="0.25">
      <c r="A7" t="s">
        <v>2</v>
      </c>
      <c r="B7" t="s">
        <v>259</v>
      </c>
      <c r="C7" s="17"/>
      <c r="D7" s="5" t="s">
        <v>257</v>
      </c>
      <c r="E7" t="s">
        <v>239</v>
      </c>
      <c r="F7" s="5">
        <v>29300</v>
      </c>
      <c r="H7">
        <v>21</v>
      </c>
      <c r="I7">
        <v>0.01</v>
      </c>
      <c r="J7">
        <v>4</v>
      </c>
      <c r="K7">
        <v>6</v>
      </c>
      <c r="L7">
        <v>580</v>
      </c>
      <c r="M7">
        <v>1</v>
      </c>
      <c r="N7" t="s">
        <v>258</v>
      </c>
      <c r="O7" cm="1">
        <f t="array" ref="O7">INDEX(DataValidation!$B$2:$B$11, _xlfn.XMATCH(N7, DataValidation!$A$2:$A$11))</f>
        <v>2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2</v>
      </c>
      <c r="AA7" t="s">
        <v>326</v>
      </c>
      <c r="AB7">
        <v>3</v>
      </c>
    </row>
    <row r="8" spans="1:30" x14ac:dyDescent="0.25">
      <c r="A8" t="s">
        <v>2</v>
      </c>
      <c r="B8" t="s">
        <v>260</v>
      </c>
      <c r="C8" s="17"/>
      <c r="D8" s="5" t="s">
        <v>257</v>
      </c>
      <c r="E8" t="s">
        <v>239</v>
      </c>
      <c r="F8" s="5">
        <v>34500</v>
      </c>
      <c r="H8">
        <v>75</v>
      </c>
      <c r="I8">
        <v>0.03</v>
      </c>
      <c r="J8">
        <v>7</v>
      </c>
      <c r="K8">
        <v>6</v>
      </c>
      <c r="L8">
        <v>580</v>
      </c>
      <c r="M8">
        <v>1</v>
      </c>
      <c r="N8" t="s">
        <v>258</v>
      </c>
      <c r="O8" cm="1">
        <f t="array" ref="O8">INDEX(DataValidation!$B$2:$B$11, _xlfn.XMATCH(N8, DataValidation!$A$2:$A$11))</f>
        <v>2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2</v>
      </c>
      <c r="AA8" t="s">
        <v>326</v>
      </c>
      <c r="AB8">
        <v>3</v>
      </c>
    </row>
    <row r="9" spans="1:30" x14ac:dyDescent="0.25">
      <c r="A9" t="s">
        <v>2</v>
      </c>
      <c r="B9" t="s">
        <v>261</v>
      </c>
      <c r="C9" s="17"/>
      <c r="D9" s="5" t="s">
        <v>257</v>
      </c>
      <c r="E9" t="s">
        <v>239</v>
      </c>
      <c r="F9" s="5">
        <v>34500</v>
      </c>
      <c r="H9">
        <v>77</v>
      </c>
      <c r="I9">
        <v>2.3E-2</v>
      </c>
      <c r="J9">
        <v>10</v>
      </c>
      <c r="K9">
        <v>6</v>
      </c>
      <c r="L9">
        <v>1150</v>
      </c>
      <c r="M9">
        <v>1</v>
      </c>
      <c r="N9" t="s">
        <v>258</v>
      </c>
      <c r="O9" cm="1">
        <f t="array" ref="O9">INDEX(DataValidation!$B$2:$B$11, _xlfn.XMATCH(N9, DataValidation!$A$2:$A$11))</f>
        <v>2</v>
      </c>
      <c r="P9">
        <v>1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2</v>
      </c>
      <c r="AA9" t="s">
        <v>326</v>
      </c>
      <c r="AB9">
        <v>3</v>
      </c>
    </row>
    <row r="10" spans="1:30" x14ac:dyDescent="0.25">
      <c r="A10" t="s">
        <v>2</v>
      </c>
      <c r="B10" t="s">
        <v>262</v>
      </c>
      <c r="C10" s="17"/>
      <c r="D10" s="5" t="s">
        <v>257</v>
      </c>
      <c r="E10" t="s">
        <v>239</v>
      </c>
      <c r="F10" s="5">
        <v>34500</v>
      </c>
      <c r="H10">
        <v>79</v>
      </c>
      <c r="I10">
        <v>0.02</v>
      </c>
      <c r="J10">
        <v>11</v>
      </c>
      <c r="K10">
        <v>6</v>
      </c>
      <c r="L10">
        <v>900</v>
      </c>
      <c r="M10">
        <v>1</v>
      </c>
      <c r="N10" t="s">
        <v>258</v>
      </c>
      <c r="O10" cm="1">
        <f t="array" ref="O10">INDEX(DataValidation!$B$2:$B$11, _xlfn.XMATCH(N10, DataValidation!$A$2:$A$11))</f>
        <v>2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2</v>
      </c>
      <c r="AA10" t="s">
        <v>326</v>
      </c>
      <c r="AB10">
        <v>3</v>
      </c>
    </row>
    <row r="11" spans="1:30" x14ac:dyDescent="0.25">
      <c r="A11" t="s">
        <v>263</v>
      </c>
      <c r="B11" t="s">
        <v>264</v>
      </c>
      <c r="C11" s="17"/>
      <c r="D11" s="5" t="s">
        <v>257</v>
      </c>
      <c r="E11" t="s">
        <v>239</v>
      </c>
      <c r="F11" s="5">
        <v>27000</v>
      </c>
      <c r="H11">
        <v>31.5</v>
      </c>
      <c r="I11">
        <v>0.05</v>
      </c>
      <c r="J11">
        <v>7</v>
      </c>
      <c r="K11">
        <v>6</v>
      </c>
      <c r="L11">
        <v>1000</v>
      </c>
      <c r="M11">
        <v>1</v>
      </c>
      <c r="N11" t="s">
        <v>304</v>
      </c>
      <c r="O11" cm="1">
        <f t="array" ref="O11">INDEX(DataValidation!$B$2:$B$11, _xlfn.XMATCH(N11, DataValidation!$A$2:$A$11))</f>
        <v>3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2</v>
      </c>
      <c r="AA11" t="s">
        <v>9</v>
      </c>
      <c r="AB11">
        <v>3</v>
      </c>
    </row>
    <row r="12" spans="1:30" x14ac:dyDescent="0.25">
      <c r="A12" t="s">
        <v>265</v>
      </c>
      <c r="B12" t="s">
        <v>267</v>
      </c>
      <c r="C12" s="17"/>
      <c r="D12" s="5" t="s">
        <v>257</v>
      </c>
      <c r="E12" t="s">
        <v>239</v>
      </c>
      <c r="F12" s="5">
        <v>18000</v>
      </c>
      <c r="H12">
        <v>16</v>
      </c>
      <c r="I12">
        <v>0.05</v>
      </c>
      <c r="J12">
        <v>3</v>
      </c>
      <c r="K12">
        <v>6</v>
      </c>
      <c r="L12">
        <v>625</v>
      </c>
      <c r="M12">
        <v>1</v>
      </c>
      <c r="N12" t="s">
        <v>305</v>
      </c>
      <c r="O12" cm="1">
        <f t="array" ref="O12">INDEX(DataValidation!$B$2:$B$11, _xlfn.XMATCH(N12, DataValidation!$A$2:$A$11))</f>
        <v>3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2</v>
      </c>
      <c r="AA12" t="s">
        <v>266</v>
      </c>
      <c r="AB12">
        <v>3</v>
      </c>
    </row>
    <row r="13" spans="1:30" x14ac:dyDescent="0.25">
      <c r="A13" t="s">
        <v>265</v>
      </c>
      <c r="B13" t="s">
        <v>268</v>
      </c>
      <c r="C13" s="17"/>
      <c r="D13" s="5" t="s">
        <v>257</v>
      </c>
      <c r="E13" t="s">
        <v>239</v>
      </c>
      <c r="F13" s="5">
        <v>18000</v>
      </c>
      <c r="H13">
        <v>24</v>
      </c>
      <c r="I13">
        <v>0.05</v>
      </c>
      <c r="J13">
        <v>5</v>
      </c>
      <c r="K13">
        <v>6</v>
      </c>
      <c r="L13">
        <v>886.5</v>
      </c>
      <c r="M13">
        <v>1</v>
      </c>
      <c r="N13" t="s">
        <v>305</v>
      </c>
      <c r="O13" cm="1">
        <f t="array" ref="O13">INDEX(DataValidation!$B$2:$B$11, _xlfn.XMATCH(N13, DataValidation!$A$2:$A$11))</f>
        <v>3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2</v>
      </c>
      <c r="AA13" t="s">
        <v>266</v>
      </c>
      <c r="AB13">
        <v>3</v>
      </c>
    </row>
    <row r="14" spans="1:30" x14ac:dyDescent="0.25">
      <c r="A14" t="s">
        <v>265</v>
      </c>
      <c r="B14" t="s">
        <v>269</v>
      </c>
      <c r="C14" s="17"/>
      <c r="D14" s="5" t="s">
        <v>257</v>
      </c>
      <c r="E14" t="s">
        <v>239</v>
      </c>
      <c r="F14" s="5">
        <v>20000</v>
      </c>
      <c r="H14">
        <v>38.5</v>
      </c>
      <c r="I14">
        <v>0.1</v>
      </c>
      <c r="J14">
        <v>10</v>
      </c>
      <c r="K14">
        <v>6</v>
      </c>
      <c r="L14">
        <v>1350</v>
      </c>
      <c r="M14">
        <v>1</v>
      </c>
      <c r="N14" t="s">
        <v>305</v>
      </c>
      <c r="O14" cm="1">
        <f t="array" ref="O14">INDEX(DataValidation!$B$2:$B$11, _xlfn.XMATCH(N14, DataValidation!$A$2:$A$11))</f>
        <v>3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2</v>
      </c>
      <c r="AA14" t="s">
        <v>266</v>
      </c>
      <c r="AB14">
        <v>3</v>
      </c>
    </row>
    <row r="15" spans="1:30" x14ac:dyDescent="0.25">
      <c r="A15" t="s">
        <v>265</v>
      </c>
      <c r="B15" t="s">
        <v>270</v>
      </c>
      <c r="C15" s="17"/>
      <c r="D15" s="5" t="s">
        <v>257</v>
      </c>
      <c r="E15" t="s">
        <v>239</v>
      </c>
      <c r="F15" s="5">
        <v>21000</v>
      </c>
      <c r="H15">
        <v>38</v>
      </c>
      <c r="I15">
        <v>0.1</v>
      </c>
      <c r="J15">
        <v>16</v>
      </c>
      <c r="K15">
        <v>6</v>
      </c>
      <c r="L15">
        <v>967.5</v>
      </c>
      <c r="M15">
        <v>1</v>
      </c>
      <c r="N15" t="s">
        <v>305</v>
      </c>
      <c r="O15" cm="1">
        <f t="array" ref="O15">INDEX(DataValidation!$B$2:$B$11, _xlfn.XMATCH(N15, DataValidation!$A$2:$A$11))</f>
        <v>3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2</v>
      </c>
      <c r="AA15" t="s">
        <v>266</v>
      </c>
      <c r="AB15">
        <v>3</v>
      </c>
    </row>
    <row r="16" spans="1:30" x14ac:dyDescent="0.25">
      <c r="A16" t="s">
        <v>265</v>
      </c>
      <c r="B16" t="s">
        <v>271</v>
      </c>
      <c r="C16" s="17"/>
      <c r="D16" s="5" t="s">
        <v>257</v>
      </c>
      <c r="E16" t="s">
        <v>239</v>
      </c>
      <c r="F16" s="5">
        <v>30000</v>
      </c>
      <c r="H16">
        <v>63</v>
      </c>
      <c r="I16">
        <v>0.1</v>
      </c>
      <c r="J16">
        <v>20</v>
      </c>
      <c r="K16">
        <v>6</v>
      </c>
      <c r="L16">
        <v>1650</v>
      </c>
      <c r="M16">
        <v>1</v>
      </c>
      <c r="N16" t="s">
        <v>305</v>
      </c>
      <c r="O16" cm="1">
        <f t="array" ref="O16">INDEX(DataValidation!$B$2:$B$11, _xlfn.XMATCH(N16, DataValidation!$A$2:$A$11))</f>
        <v>3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2</v>
      </c>
      <c r="AA16" t="s">
        <v>266</v>
      </c>
      <c r="AB16">
        <v>3</v>
      </c>
    </row>
    <row r="17" spans="1:29" x14ac:dyDescent="0.25">
      <c r="A17" t="s">
        <v>272</v>
      </c>
      <c r="B17" t="s">
        <v>273</v>
      </c>
      <c r="C17" s="17"/>
      <c r="D17" s="5" t="s">
        <v>257</v>
      </c>
      <c r="E17" t="s">
        <v>239</v>
      </c>
      <c r="H17">
        <v>46</v>
      </c>
      <c r="I17">
        <v>0.02</v>
      </c>
      <c r="J17">
        <v>8</v>
      </c>
      <c r="K17">
        <v>4</v>
      </c>
      <c r="L17">
        <v>1793</v>
      </c>
      <c r="M17">
        <v>1</v>
      </c>
      <c r="N17" t="s">
        <v>258</v>
      </c>
      <c r="O17" cm="1">
        <f t="array" ref="O17">INDEX(DataValidation!$B$2:$B$11, _xlfn.XMATCH(N17, DataValidation!$A$2:$A$11))</f>
        <v>2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2</v>
      </c>
      <c r="AA17" t="s">
        <v>266</v>
      </c>
      <c r="AB17">
        <v>3</v>
      </c>
    </row>
    <row r="18" spans="1:29" x14ac:dyDescent="0.25">
      <c r="A18" t="s">
        <v>272</v>
      </c>
      <c r="B18" t="s">
        <v>274</v>
      </c>
      <c r="D18" s="5" t="s">
        <v>257</v>
      </c>
      <c r="E18" t="s">
        <v>239</v>
      </c>
      <c r="H18">
        <v>46</v>
      </c>
      <c r="I18">
        <v>0.02</v>
      </c>
      <c r="J18">
        <v>6</v>
      </c>
      <c r="K18">
        <v>6</v>
      </c>
      <c r="L18">
        <v>1793</v>
      </c>
      <c r="M18">
        <v>1</v>
      </c>
      <c r="N18" t="s">
        <v>258</v>
      </c>
      <c r="O18" cm="1">
        <f t="array" ref="O18">INDEX(DataValidation!$B$2:$B$11, _xlfn.XMATCH(N18, DataValidation!$A$2:$A$11))</f>
        <v>2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2</v>
      </c>
      <c r="AA18" t="s">
        <v>266</v>
      </c>
      <c r="AB18">
        <v>3</v>
      </c>
    </row>
    <row r="19" spans="1:29" x14ac:dyDescent="0.25">
      <c r="A19" t="s">
        <v>272</v>
      </c>
      <c r="B19" t="s">
        <v>275</v>
      </c>
      <c r="D19" s="5" t="s">
        <v>257</v>
      </c>
      <c r="E19" t="s">
        <v>239</v>
      </c>
      <c r="H19">
        <v>20</v>
      </c>
      <c r="I19">
        <v>0.09</v>
      </c>
      <c r="J19">
        <v>3</v>
      </c>
      <c r="K19">
        <v>4</v>
      </c>
      <c r="L19">
        <v>587.76</v>
      </c>
      <c r="M19">
        <v>1</v>
      </c>
      <c r="N19" t="s">
        <v>258</v>
      </c>
      <c r="O19" cm="1">
        <f t="array" ref="O19">INDEX(DataValidation!$B$2:$B$11, _xlfn.XMATCH(N19, DataValidation!$A$2:$A$11))</f>
        <v>2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1</v>
      </c>
      <c r="X19">
        <v>0</v>
      </c>
      <c r="Y19">
        <v>2</v>
      </c>
      <c r="AA19" t="s">
        <v>266</v>
      </c>
      <c r="AB19">
        <v>3</v>
      </c>
    </row>
    <row r="20" spans="1:29" x14ac:dyDescent="0.25">
      <c r="A20" t="s">
        <v>7</v>
      </c>
      <c r="B20" t="s">
        <v>10</v>
      </c>
      <c r="C20" s="17" t="s">
        <v>12</v>
      </c>
      <c r="D20" s="5" t="s">
        <v>239</v>
      </c>
      <c r="E20" t="s">
        <v>257</v>
      </c>
      <c r="M20">
        <v>1</v>
      </c>
      <c r="O20" cm="1">
        <f t="array" ref="O20">INDEX(DataValidation!$B$2:$B$11, _xlfn.XMATCH(N20, DataValidation!$A$2:$A$11))</f>
        <v>0</v>
      </c>
      <c r="AA20" t="s">
        <v>9</v>
      </c>
      <c r="AB20">
        <v>1</v>
      </c>
      <c r="AC20" t="s">
        <v>239</v>
      </c>
    </row>
    <row r="21" spans="1:29" x14ac:dyDescent="0.25">
      <c r="A21" t="s">
        <v>13</v>
      </c>
      <c r="B21" t="s">
        <v>14</v>
      </c>
      <c r="C21" s="17" t="s">
        <v>16</v>
      </c>
      <c r="D21" s="5" t="s">
        <v>239</v>
      </c>
      <c r="E21" t="s">
        <v>257</v>
      </c>
      <c r="H21">
        <v>1615</v>
      </c>
      <c r="I21">
        <v>0.1</v>
      </c>
      <c r="J21">
        <v>170</v>
      </c>
      <c r="K21">
        <v>6</v>
      </c>
      <c r="L21">
        <v>2790</v>
      </c>
      <c r="M21">
        <v>1</v>
      </c>
      <c r="N21" t="s">
        <v>294</v>
      </c>
      <c r="O21" cm="1">
        <f t="array" ref="O21">INDEX(DataValidation!$B$2:$B$11, _xlfn.XMATCH(N21, DataValidation!$A$2:$A$11))</f>
        <v>1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1.5</v>
      </c>
      <c r="AA21" t="s">
        <v>15</v>
      </c>
      <c r="AB21">
        <v>3</v>
      </c>
    </row>
    <row r="22" spans="1:29" x14ac:dyDescent="0.25">
      <c r="A22" t="s">
        <v>13</v>
      </c>
      <c r="B22" t="s">
        <v>17</v>
      </c>
      <c r="C22" s="17" t="s">
        <v>18</v>
      </c>
      <c r="D22" s="5" t="s">
        <v>239</v>
      </c>
      <c r="E22" t="s">
        <v>257</v>
      </c>
      <c r="H22">
        <v>34</v>
      </c>
      <c r="I22">
        <v>0.03</v>
      </c>
      <c r="J22">
        <v>5</v>
      </c>
      <c r="K22">
        <v>6</v>
      </c>
      <c r="L22">
        <v>809</v>
      </c>
      <c r="M22">
        <v>1</v>
      </c>
      <c r="N22" t="s">
        <v>294</v>
      </c>
      <c r="O22" cm="1">
        <f t="array" ref="O22">INDEX(DataValidation!$B$2:$B$11, _xlfn.XMATCH(N22, DataValidation!$A$2:$A$11))</f>
        <v>1</v>
      </c>
      <c r="P22">
        <v>0</v>
      </c>
      <c r="Q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2</v>
      </c>
      <c r="AA22" t="s">
        <v>15</v>
      </c>
      <c r="AB22">
        <v>3</v>
      </c>
    </row>
    <row r="23" spans="1:29" x14ac:dyDescent="0.25">
      <c r="A23" t="s">
        <v>276</v>
      </c>
      <c r="B23" t="s">
        <v>277</v>
      </c>
      <c r="D23" s="5" t="s">
        <v>257</v>
      </c>
      <c r="E23" t="s">
        <v>239</v>
      </c>
      <c r="F23" s="5">
        <v>26900</v>
      </c>
      <c r="H23">
        <v>24</v>
      </c>
      <c r="I23">
        <v>0.02</v>
      </c>
      <c r="J23">
        <v>6</v>
      </c>
      <c r="K23">
        <v>6</v>
      </c>
      <c r="L23">
        <v>800</v>
      </c>
      <c r="M23">
        <v>1</v>
      </c>
      <c r="N23" t="s">
        <v>258</v>
      </c>
      <c r="O23" cm="1">
        <f t="array" ref="O23">INDEX(DataValidation!$B$2:$B$11, _xlfn.XMATCH(N23, DataValidation!$A$2:$A$11))</f>
        <v>2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2</v>
      </c>
      <c r="AA23" t="s">
        <v>283</v>
      </c>
      <c r="AB23">
        <v>3</v>
      </c>
    </row>
    <row r="24" spans="1:29" x14ac:dyDescent="0.25">
      <c r="A24" t="s">
        <v>276</v>
      </c>
      <c r="B24" t="s">
        <v>278</v>
      </c>
      <c r="D24" s="5" t="s">
        <v>257</v>
      </c>
      <c r="E24" t="s">
        <v>239</v>
      </c>
      <c r="F24" s="5">
        <v>31900</v>
      </c>
      <c r="H24">
        <v>40</v>
      </c>
      <c r="I24">
        <v>0.02</v>
      </c>
      <c r="J24">
        <v>8</v>
      </c>
      <c r="K24">
        <v>6</v>
      </c>
      <c r="L24">
        <v>1300</v>
      </c>
      <c r="M24">
        <v>1</v>
      </c>
      <c r="N24" t="s">
        <v>258</v>
      </c>
      <c r="O24" cm="1">
        <f t="array" ref="O24">INDEX(DataValidation!$B$2:$B$11, _xlfn.XMATCH(N24, DataValidation!$A$2:$A$11))</f>
        <v>2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2</v>
      </c>
      <c r="AA24" t="s">
        <v>283</v>
      </c>
      <c r="AB24">
        <v>3</v>
      </c>
    </row>
    <row r="25" spans="1:29" x14ac:dyDescent="0.25">
      <c r="A25" t="s">
        <v>276</v>
      </c>
      <c r="B25" t="s">
        <v>279</v>
      </c>
      <c r="D25" s="5" t="s">
        <v>257</v>
      </c>
      <c r="E25" t="s">
        <v>239</v>
      </c>
      <c r="F25" s="5">
        <v>33900</v>
      </c>
      <c r="H25">
        <v>39</v>
      </c>
      <c r="I25">
        <v>0.02</v>
      </c>
      <c r="J25">
        <v>10</v>
      </c>
      <c r="K25">
        <v>6</v>
      </c>
      <c r="L25">
        <v>1200</v>
      </c>
      <c r="M25">
        <v>1</v>
      </c>
      <c r="N25" t="s">
        <v>258</v>
      </c>
      <c r="O25" cm="1">
        <f t="array" ref="O25">INDEX(DataValidation!$B$2:$B$11, _xlfn.XMATCH(N25, DataValidation!$A$2:$A$11))</f>
        <v>2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2</v>
      </c>
      <c r="AA25" t="s">
        <v>283</v>
      </c>
      <c r="AB25">
        <v>3</v>
      </c>
    </row>
    <row r="26" spans="1:29" x14ac:dyDescent="0.25">
      <c r="A26" t="s">
        <v>276</v>
      </c>
      <c r="B26" t="s">
        <v>280</v>
      </c>
      <c r="D26" s="5" t="s">
        <v>257</v>
      </c>
      <c r="E26" t="s">
        <v>239</v>
      </c>
      <c r="F26" s="5">
        <v>38900</v>
      </c>
      <c r="H26">
        <v>70</v>
      </c>
      <c r="I26">
        <v>0.02</v>
      </c>
      <c r="J26">
        <v>16</v>
      </c>
      <c r="K26">
        <v>6</v>
      </c>
      <c r="L26">
        <v>1600</v>
      </c>
      <c r="M26">
        <v>1</v>
      </c>
      <c r="N26" t="s">
        <v>258</v>
      </c>
      <c r="O26" cm="1">
        <f t="array" ref="O26">INDEX(DataValidation!$B$2:$B$11, _xlfn.XMATCH(N26, DataValidation!$A$2:$A$11))</f>
        <v>2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2</v>
      </c>
      <c r="AA26" t="s">
        <v>283</v>
      </c>
      <c r="AB26">
        <v>3</v>
      </c>
    </row>
    <row r="27" spans="1:29" x14ac:dyDescent="0.25">
      <c r="A27" t="s">
        <v>276</v>
      </c>
      <c r="B27" t="s">
        <v>281</v>
      </c>
      <c r="D27" s="5" t="s">
        <v>257</v>
      </c>
      <c r="E27" t="s">
        <v>239</v>
      </c>
      <c r="F27" s="5">
        <v>47900</v>
      </c>
      <c r="H27">
        <v>101</v>
      </c>
      <c r="I27">
        <v>0.02</v>
      </c>
      <c r="J27">
        <v>20</v>
      </c>
      <c r="K27">
        <v>6</v>
      </c>
      <c r="L27">
        <v>1800</v>
      </c>
      <c r="M27">
        <v>1</v>
      </c>
      <c r="N27" t="s">
        <v>258</v>
      </c>
      <c r="O27" cm="1">
        <f t="array" ref="O27">INDEX(DataValidation!$B$2:$B$11, _xlfn.XMATCH(N27, DataValidation!$A$2:$A$11))</f>
        <v>2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2</v>
      </c>
      <c r="AA27" t="s">
        <v>283</v>
      </c>
      <c r="AB27">
        <v>3</v>
      </c>
    </row>
    <row r="28" spans="1:29" x14ac:dyDescent="0.25">
      <c r="A28" t="s">
        <v>276</v>
      </c>
      <c r="B28" t="s">
        <v>282</v>
      </c>
      <c r="D28" s="5" t="s">
        <v>257</v>
      </c>
      <c r="E28" t="s">
        <v>239</v>
      </c>
      <c r="F28" s="5">
        <v>52900</v>
      </c>
      <c r="H28">
        <v>98</v>
      </c>
      <c r="I28">
        <v>0.02</v>
      </c>
      <c r="J28">
        <v>30</v>
      </c>
      <c r="K28">
        <v>6</v>
      </c>
      <c r="L28">
        <v>1300</v>
      </c>
      <c r="M28">
        <v>1</v>
      </c>
      <c r="N28" t="s">
        <v>258</v>
      </c>
      <c r="O28" cm="1">
        <f t="array" ref="O28">INDEX(DataValidation!$B$2:$B$11, _xlfn.XMATCH(N28, DataValidation!$A$2:$A$11))</f>
        <v>2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2</v>
      </c>
      <c r="AA28" t="s">
        <v>283</v>
      </c>
      <c r="AB28">
        <v>3</v>
      </c>
    </row>
    <row r="29" spans="1:29" x14ac:dyDescent="0.25">
      <c r="A29" t="s">
        <v>284</v>
      </c>
      <c r="B29" t="s">
        <v>285</v>
      </c>
      <c r="D29" s="5" t="s">
        <v>257</v>
      </c>
      <c r="E29" t="s">
        <v>239</v>
      </c>
      <c r="F29" s="5">
        <v>14800</v>
      </c>
      <c r="H29">
        <v>4</v>
      </c>
      <c r="I29">
        <v>0.05</v>
      </c>
      <c r="J29">
        <v>0.5</v>
      </c>
      <c r="K29">
        <v>6</v>
      </c>
      <c r="L29">
        <v>343</v>
      </c>
      <c r="M29">
        <v>1</v>
      </c>
      <c r="N29" t="s">
        <v>304</v>
      </c>
      <c r="O29" cm="1">
        <f t="array" ref="O29">INDEX(DataValidation!$B$2:$B$11, _xlfn.XMATCH(N29, DataValidation!$A$2:$A$11))</f>
        <v>3</v>
      </c>
      <c r="P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2</v>
      </c>
      <c r="AA29" t="s">
        <v>54</v>
      </c>
      <c r="AB29">
        <v>3</v>
      </c>
    </row>
    <row r="30" spans="1:29" x14ac:dyDescent="0.25">
      <c r="A30" t="s">
        <v>284</v>
      </c>
      <c r="B30" t="s">
        <v>286</v>
      </c>
      <c r="D30" s="5" t="s">
        <v>257</v>
      </c>
      <c r="E30" t="s">
        <v>239</v>
      </c>
      <c r="H30">
        <v>12</v>
      </c>
      <c r="I30">
        <v>0.04</v>
      </c>
      <c r="J30">
        <v>12</v>
      </c>
      <c r="K30">
        <v>6</v>
      </c>
      <c r="L30">
        <v>1303</v>
      </c>
      <c r="M30">
        <v>1</v>
      </c>
      <c r="N30" t="s">
        <v>304</v>
      </c>
      <c r="O30" cm="1">
        <f t="array" ref="O30">INDEX(DataValidation!$B$2:$B$11, _xlfn.XMATCH(N30, DataValidation!$A$2:$A$11))</f>
        <v>3</v>
      </c>
      <c r="P30">
        <v>0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2</v>
      </c>
      <c r="AA30" t="s">
        <v>54</v>
      </c>
      <c r="AB30">
        <v>3</v>
      </c>
    </row>
    <row r="31" spans="1:29" x14ac:dyDescent="0.25">
      <c r="A31" t="s">
        <v>287</v>
      </c>
      <c r="B31" t="s">
        <v>288</v>
      </c>
      <c r="D31" s="5" t="s">
        <v>257</v>
      </c>
      <c r="E31" t="s">
        <v>239</v>
      </c>
      <c r="F31" s="5">
        <v>15390</v>
      </c>
      <c r="G31">
        <v>32000</v>
      </c>
      <c r="H31">
        <v>23</v>
      </c>
      <c r="I31">
        <v>0.03</v>
      </c>
      <c r="J31">
        <v>5</v>
      </c>
      <c r="K31">
        <v>6</v>
      </c>
      <c r="L31">
        <v>900</v>
      </c>
      <c r="M31">
        <v>1</v>
      </c>
      <c r="N31" t="s">
        <v>304</v>
      </c>
      <c r="O31" cm="1">
        <f t="array" ref="O31">INDEX(DataValidation!$B$2:$B$11, _xlfn.XMATCH(N31, DataValidation!$A$2:$A$11))</f>
        <v>3</v>
      </c>
      <c r="P31">
        <v>0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2</v>
      </c>
      <c r="AA31" t="s">
        <v>27</v>
      </c>
      <c r="AB31">
        <v>3</v>
      </c>
    </row>
    <row r="32" spans="1:29" x14ac:dyDescent="0.25">
      <c r="A32" t="s">
        <v>287</v>
      </c>
      <c r="B32" t="s">
        <v>289</v>
      </c>
      <c r="D32" s="5" t="s">
        <v>257</v>
      </c>
      <c r="E32" t="s">
        <v>239</v>
      </c>
      <c r="F32" s="5">
        <v>21540</v>
      </c>
      <c r="G32">
        <v>32000</v>
      </c>
      <c r="H32">
        <v>40</v>
      </c>
      <c r="I32">
        <v>0.03</v>
      </c>
      <c r="J32">
        <v>10</v>
      </c>
      <c r="K32">
        <v>6</v>
      </c>
      <c r="L32">
        <v>1300</v>
      </c>
      <c r="M32">
        <v>1</v>
      </c>
      <c r="N32" t="s">
        <v>304</v>
      </c>
      <c r="O32" cm="1">
        <f t="array" ref="O32">INDEX(DataValidation!$B$2:$B$11, _xlfn.XMATCH(N32, DataValidation!$A$2:$A$11))</f>
        <v>3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0</v>
      </c>
      <c r="X32">
        <v>0</v>
      </c>
      <c r="Y32">
        <v>2</v>
      </c>
      <c r="AA32" t="s">
        <v>27</v>
      </c>
      <c r="AB32">
        <v>3</v>
      </c>
    </row>
    <row r="33" spans="1:29" x14ac:dyDescent="0.25">
      <c r="A33" t="s">
        <v>287</v>
      </c>
      <c r="B33" t="s">
        <v>290</v>
      </c>
      <c r="D33" s="5" t="s">
        <v>257</v>
      </c>
      <c r="E33" t="s">
        <v>239</v>
      </c>
      <c r="F33" s="5">
        <v>8920</v>
      </c>
      <c r="H33">
        <v>11</v>
      </c>
      <c r="I33">
        <v>0.05</v>
      </c>
      <c r="J33">
        <v>2</v>
      </c>
      <c r="K33">
        <v>6</v>
      </c>
      <c r="L33">
        <v>625</v>
      </c>
      <c r="M33">
        <v>1</v>
      </c>
      <c r="N33" t="s">
        <v>304</v>
      </c>
      <c r="O33" cm="1">
        <f t="array" ref="O33">INDEX(DataValidation!$B$2:$B$11, _xlfn.XMATCH(N33, DataValidation!$A$2:$A$11))</f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2</v>
      </c>
      <c r="AA33" t="s">
        <v>27</v>
      </c>
      <c r="AB33">
        <v>3</v>
      </c>
    </row>
    <row r="34" spans="1:29" x14ac:dyDescent="0.25">
      <c r="A34" t="s">
        <v>287</v>
      </c>
      <c r="B34" t="s">
        <v>291</v>
      </c>
      <c r="D34" s="5" t="s">
        <v>257</v>
      </c>
      <c r="E34" t="s">
        <v>239</v>
      </c>
      <c r="F34" s="5">
        <v>9540</v>
      </c>
      <c r="H34">
        <v>14</v>
      </c>
      <c r="I34">
        <v>0.05</v>
      </c>
      <c r="J34">
        <v>5</v>
      </c>
      <c r="K34">
        <v>6</v>
      </c>
      <c r="L34">
        <v>850</v>
      </c>
      <c r="M34">
        <v>1</v>
      </c>
      <c r="N34" t="s">
        <v>304</v>
      </c>
      <c r="O34" cm="1">
        <f t="array" ref="O34">INDEX(DataValidation!$B$2:$B$11, _xlfn.XMATCH(N34, DataValidation!$A$2:$A$11))</f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2</v>
      </c>
      <c r="AA34" t="s">
        <v>27</v>
      </c>
      <c r="AB34">
        <v>3</v>
      </c>
    </row>
    <row r="35" spans="1:29" x14ac:dyDescent="0.25">
      <c r="A35" t="s">
        <v>292</v>
      </c>
      <c r="B35" t="s">
        <v>293</v>
      </c>
      <c r="D35" s="5" t="s">
        <v>257</v>
      </c>
      <c r="E35" t="s">
        <v>239</v>
      </c>
      <c r="F35" s="5">
        <v>22500</v>
      </c>
      <c r="H35">
        <v>21</v>
      </c>
      <c r="I35">
        <v>0.03</v>
      </c>
      <c r="J35">
        <v>5</v>
      </c>
      <c r="K35">
        <v>6</v>
      </c>
      <c r="L35">
        <v>900</v>
      </c>
      <c r="M35">
        <v>1</v>
      </c>
      <c r="N35" t="s">
        <v>294</v>
      </c>
      <c r="O35" cm="1">
        <f t="array" ref="O35">INDEX(DataValidation!$B$2:$B$11, _xlfn.XMATCH(N35, DataValidation!$A$2:$A$11))</f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2</v>
      </c>
      <c r="AA35" t="s">
        <v>331</v>
      </c>
      <c r="AB35">
        <v>3</v>
      </c>
    </row>
    <row r="36" spans="1:29" x14ac:dyDescent="0.25">
      <c r="A36" t="s">
        <v>292</v>
      </c>
      <c r="B36" t="s">
        <v>295</v>
      </c>
      <c r="D36" s="5" t="s">
        <v>257</v>
      </c>
      <c r="E36" t="s">
        <v>239</v>
      </c>
      <c r="F36" s="5">
        <v>27500</v>
      </c>
      <c r="H36">
        <v>27</v>
      </c>
      <c r="I36">
        <v>0.05</v>
      </c>
      <c r="J36">
        <v>9</v>
      </c>
      <c r="K36">
        <v>6</v>
      </c>
      <c r="L36">
        <v>1200</v>
      </c>
      <c r="M36">
        <v>1</v>
      </c>
      <c r="N36" t="s">
        <v>294</v>
      </c>
      <c r="O36" cm="1">
        <f t="array" ref="O36">INDEX(DataValidation!$B$2:$B$11, _xlfn.XMATCH(N36, DataValidation!$A$2:$A$11))</f>
        <v>1</v>
      </c>
      <c r="P36">
        <v>0</v>
      </c>
      <c r="Q36">
        <v>1</v>
      </c>
      <c r="R36">
        <v>0</v>
      </c>
      <c r="S36">
        <v>1</v>
      </c>
      <c r="T36">
        <v>1</v>
      </c>
      <c r="U36">
        <v>1</v>
      </c>
      <c r="V36">
        <v>0</v>
      </c>
      <c r="W36">
        <v>0</v>
      </c>
      <c r="X36">
        <v>0</v>
      </c>
      <c r="Y36">
        <v>2</v>
      </c>
      <c r="AA36" t="s">
        <v>331</v>
      </c>
      <c r="AB36">
        <v>3</v>
      </c>
    </row>
    <row r="37" spans="1:29" x14ac:dyDescent="0.25">
      <c r="A37" t="s">
        <v>292</v>
      </c>
      <c r="B37" t="s">
        <v>296</v>
      </c>
      <c r="D37" s="5" t="s">
        <v>257</v>
      </c>
      <c r="E37" t="s">
        <v>239</v>
      </c>
      <c r="F37" s="5">
        <v>29500</v>
      </c>
      <c r="H37">
        <v>27</v>
      </c>
      <c r="I37">
        <v>0.05</v>
      </c>
      <c r="J37">
        <v>6</v>
      </c>
      <c r="K37">
        <v>6</v>
      </c>
      <c r="L37">
        <v>900</v>
      </c>
      <c r="M37">
        <v>1</v>
      </c>
      <c r="N37" t="s">
        <v>294</v>
      </c>
      <c r="O37" cm="1">
        <f t="array" ref="O37">INDEX(DataValidation!$B$2:$B$11, _xlfn.XMATCH(N37, DataValidation!$A$2:$A$11))</f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2</v>
      </c>
      <c r="AA37" t="s">
        <v>331</v>
      </c>
      <c r="AB37">
        <v>3</v>
      </c>
    </row>
    <row r="38" spans="1:29" x14ac:dyDescent="0.25">
      <c r="A38" t="s">
        <v>292</v>
      </c>
      <c r="B38" t="s">
        <v>297</v>
      </c>
      <c r="D38" s="5" t="s">
        <v>257</v>
      </c>
      <c r="E38" t="s">
        <v>239</v>
      </c>
      <c r="F38" s="5">
        <v>37500</v>
      </c>
      <c r="H38">
        <v>32</v>
      </c>
      <c r="I38">
        <v>0.05</v>
      </c>
      <c r="J38">
        <v>15</v>
      </c>
      <c r="K38">
        <v>6</v>
      </c>
      <c r="L38">
        <v>900</v>
      </c>
      <c r="M38">
        <v>1</v>
      </c>
      <c r="N38" t="s">
        <v>294</v>
      </c>
      <c r="O38" cm="1">
        <f t="array" ref="O38">INDEX(DataValidation!$B$2:$B$11, _xlfn.XMATCH(N38, DataValidation!$A$2:$A$11))</f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2</v>
      </c>
      <c r="AA38" t="s">
        <v>331</v>
      </c>
      <c r="AB38">
        <v>3</v>
      </c>
    </row>
    <row r="39" spans="1:29" x14ac:dyDescent="0.25">
      <c r="A39" t="s">
        <v>292</v>
      </c>
      <c r="B39" t="s">
        <v>298</v>
      </c>
      <c r="D39" s="5" t="s">
        <v>257</v>
      </c>
      <c r="E39" t="s">
        <v>239</v>
      </c>
      <c r="F39" s="5">
        <v>44000</v>
      </c>
      <c r="H39">
        <v>74</v>
      </c>
      <c r="I39">
        <v>0.1</v>
      </c>
      <c r="J39">
        <v>20</v>
      </c>
      <c r="K39">
        <v>6</v>
      </c>
      <c r="L39">
        <v>1700</v>
      </c>
      <c r="M39">
        <v>1</v>
      </c>
      <c r="N39" t="s">
        <v>294</v>
      </c>
      <c r="O39" cm="1">
        <f t="array" ref="O39">INDEX(DataValidation!$B$2:$B$11, _xlfn.XMATCH(N39, DataValidation!$A$2:$A$11))</f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2</v>
      </c>
      <c r="AA39" t="s">
        <v>331</v>
      </c>
      <c r="AB39">
        <v>3</v>
      </c>
    </row>
    <row r="40" spans="1:29" x14ac:dyDescent="0.25">
      <c r="A40" t="s">
        <v>292</v>
      </c>
      <c r="B40" t="s">
        <v>299</v>
      </c>
      <c r="D40" s="5" t="s">
        <v>257</v>
      </c>
      <c r="E40" t="s">
        <v>239</v>
      </c>
      <c r="F40" s="5">
        <v>50500</v>
      </c>
      <c r="H40">
        <v>72</v>
      </c>
      <c r="I40">
        <v>0.1</v>
      </c>
      <c r="J40">
        <v>25</v>
      </c>
      <c r="K40">
        <v>6</v>
      </c>
      <c r="L40">
        <v>1500</v>
      </c>
      <c r="M40">
        <v>1</v>
      </c>
      <c r="N40" t="s">
        <v>294</v>
      </c>
      <c r="O40" cm="1">
        <f t="array" ref="O40">INDEX(DataValidation!$B$2:$B$11, _xlfn.XMATCH(N40, DataValidation!$A$2:$A$11))</f>
        <v>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2</v>
      </c>
      <c r="AA40" t="s">
        <v>331</v>
      </c>
      <c r="AB40">
        <v>3</v>
      </c>
    </row>
    <row r="41" spans="1:29" x14ac:dyDescent="0.25">
      <c r="A41" t="s">
        <v>21</v>
      </c>
      <c r="B41" t="s">
        <v>22</v>
      </c>
      <c r="C41" s="17" t="s">
        <v>23</v>
      </c>
      <c r="D41" s="5" t="s">
        <v>239</v>
      </c>
      <c r="E41" t="s">
        <v>257</v>
      </c>
      <c r="M41">
        <v>1</v>
      </c>
      <c r="O41" cm="1">
        <f t="array" ref="O41">INDEX(DataValidation!$B$2:$B$11, _xlfn.XMATCH(N41, DataValidation!$A$2:$A$11))</f>
        <v>0</v>
      </c>
      <c r="W41">
        <v>1</v>
      </c>
      <c r="AA41" t="s">
        <v>9</v>
      </c>
      <c r="AB41">
        <v>1</v>
      </c>
      <c r="AC41" t="s">
        <v>239</v>
      </c>
    </row>
    <row r="42" spans="1:29" x14ac:dyDescent="0.25">
      <c r="A42" t="s">
        <v>301</v>
      </c>
      <c r="B42" t="s">
        <v>302</v>
      </c>
      <c r="D42" s="5" t="s">
        <v>257</v>
      </c>
      <c r="E42" t="s">
        <v>239</v>
      </c>
      <c r="F42" s="5">
        <v>14280</v>
      </c>
      <c r="H42">
        <v>13</v>
      </c>
      <c r="I42">
        <v>0.02</v>
      </c>
      <c r="J42">
        <v>3</v>
      </c>
      <c r="K42">
        <v>6</v>
      </c>
      <c r="L42">
        <v>624</v>
      </c>
      <c r="M42">
        <v>1</v>
      </c>
      <c r="N42" t="s">
        <v>304</v>
      </c>
      <c r="O42" cm="1">
        <f t="array" ref="O42">INDEX(DataValidation!$B$2:$B$11, _xlfn.XMATCH(N42, DataValidation!$A$2:$A$11))</f>
        <v>3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2</v>
      </c>
      <c r="AA42" t="s">
        <v>27</v>
      </c>
      <c r="AB42">
        <v>3</v>
      </c>
    </row>
    <row r="43" spans="1:29" x14ac:dyDescent="0.25">
      <c r="A43" t="s">
        <v>301</v>
      </c>
      <c r="B43" t="s">
        <v>309</v>
      </c>
      <c r="D43" s="5" t="s">
        <v>257</v>
      </c>
      <c r="E43" t="s">
        <v>239</v>
      </c>
      <c r="F43" s="5">
        <v>25800</v>
      </c>
      <c r="H43">
        <v>32.5</v>
      </c>
      <c r="I43">
        <v>0.03</v>
      </c>
      <c r="J43">
        <v>16</v>
      </c>
      <c r="K43">
        <v>6</v>
      </c>
      <c r="L43">
        <v>954</v>
      </c>
      <c r="M43">
        <v>1</v>
      </c>
      <c r="N43" t="s">
        <v>304</v>
      </c>
      <c r="O43" cm="1">
        <f t="array" ref="O43">INDEX(DataValidation!$B$2:$B$11, _xlfn.XMATCH(N43, DataValidation!$A$2:$A$11))</f>
        <v>3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2</v>
      </c>
      <c r="AA43" t="s">
        <v>27</v>
      </c>
      <c r="AB43">
        <v>3</v>
      </c>
    </row>
    <row r="44" spans="1:29" x14ac:dyDescent="0.25">
      <c r="A44" t="s">
        <v>301</v>
      </c>
      <c r="B44" t="s">
        <v>310</v>
      </c>
      <c r="D44" s="5" t="s">
        <v>257</v>
      </c>
      <c r="E44" t="s">
        <v>239</v>
      </c>
      <c r="F44" s="5">
        <v>16840</v>
      </c>
      <c r="H44">
        <v>15</v>
      </c>
      <c r="I44">
        <v>0.02</v>
      </c>
      <c r="J44">
        <v>3</v>
      </c>
      <c r="K44">
        <v>6</v>
      </c>
      <c r="L44">
        <v>624</v>
      </c>
      <c r="M44">
        <v>1</v>
      </c>
      <c r="N44" t="s">
        <v>304</v>
      </c>
      <c r="O44" cm="1">
        <f t="array" ref="O44">INDEX(DataValidation!$B$2:$B$11, _xlfn.XMATCH(N44, DataValidation!$A$2:$A$11))</f>
        <v>3</v>
      </c>
      <c r="P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2</v>
      </c>
      <c r="AA44" t="s">
        <v>27</v>
      </c>
      <c r="AB44">
        <v>3</v>
      </c>
    </row>
    <row r="45" spans="1:29" x14ac:dyDescent="0.25">
      <c r="A45" t="s">
        <v>301</v>
      </c>
      <c r="B45" t="s">
        <v>311</v>
      </c>
      <c r="D45" s="5" t="s">
        <v>257</v>
      </c>
      <c r="E45" t="s">
        <v>239</v>
      </c>
      <c r="F45" s="5">
        <v>34400</v>
      </c>
      <c r="H45">
        <v>58</v>
      </c>
      <c r="I45">
        <v>0.08</v>
      </c>
      <c r="J45">
        <v>25</v>
      </c>
      <c r="K45">
        <v>6</v>
      </c>
      <c r="L45">
        <v>1500</v>
      </c>
      <c r="M45">
        <v>1</v>
      </c>
      <c r="N45" t="s">
        <v>304</v>
      </c>
      <c r="O45" cm="1">
        <f t="array" ref="O45">INDEX(DataValidation!$B$2:$B$11, _xlfn.XMATCH(N45, DataValidation!$A$2:$A$11))</f>
        <v>3</v>
      </c>
      <c r="P45">
        <v>0</v>
      </c>
      <c r="Q45">
        <v>1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2</v>
      </c>
      <c r="AA45" t="s">
        <v>27</v>
      </c>
      <c r="AB45">
        <v>3</v>
      </c>
    </row>
    <row r="46" spans="1:29" x14ac:dyDescent="0.25">
      <c r="A46" t="s">
        <v>301</v>
      </c>
      <c r="B46" t="s">
        <v>312</v>
      </c>
      <c r="D46" s="5" t="s">
        <v>257</v>
      </c>
      <c r="E46" t="s">
        <v>239</v>
      </c>
      <c r="F46" s="5">
        <v>16875</v>
      </c>
      <c r="H46">
        <v>17.5</v>
      </c>
      <c r="I46">
        <v>0.03</v>
      </c>
      <c r="J46">
        <v>6</v>
      </c>
      <c r="K46">
        <v>6</v>
      </c>
      <c r="L46">
        <v>914</v>
      </c>
      <c r="M46">
        <v>1</v>
      </c>
      <c r="N46" t="s">
        <v>304</v>
      </c>
      <c r="O46" cm="1">
        <f t="array" ref="O46">INDEX(DataValidation!$B$2:$B$11, _xlfn.XMATCH(N46, DataValidation!$A$2:$A$11))</f>
        <v>3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Y46">
        <v>2</v>
      </c>
      <c r="AA46" t="s">
        <v>27</v>
      </c>
      <c r="AB46">
        <v>3</v>
      </c>
    </row>
    <row r="47" spans="1:29" x14ac:dyDescent="0.25">
      <c r="A47" t="s">
        <v>301</v>
      </c>
      <c r="B47" t="s">
        <v>313</v>
      </c>
      <c r="D47" s="5" t="s">
        <v>257</v>
      </c>
      <c r="E47" t="s">
        <v>239</v>
      </c>
      <c r="F47" s="5">
        <v>18575</v>
      </c>
      <c r="H47">
        <v>17</v>
      </c>
      <c r="I47">
        <v>0.03</v>
      </c>
      <c r="J47">
        <v>8</v>
      </c>
      <c r="K47">
        <v>6</v>
      </c>
      <c r="L47">
        <v>820</v>
      </c>
      <c r="M47">
        <v>1</v>
      </c>
      <c r="N47" t="s">
        <v>304</v>
      </c>
      <c r="O47" cm="1">
        <f t="array" ref="O47">INDEX(DataValidation!$B$2:$B$11, _xlfn.XMATCH(N47, DataValidation!$A$2:$A$11))</f>
        <v>3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2</v>
      </c>
      <c r="AA47" t="s">
        <v>27</v>
      </c>
      <c r="AB47">
        <v>3</v>
      </c>
    </row>
    <row r="48" spans="1:29" x14ac:dyDescent="0.25">
      <c r="A48" t="s">
        <v>301</v>
      </c>
      <c r="B48" t="s">
        <v>314</v>
      </c>
      <c r="D48" s="5" t="s">
        <v>257</v>
      </c>
      <c r="E48" t="s">
        <v>239</v>
      </c>
      <c r="F48" s="5">
        <v>23205</v>
      </c>
      <c r="H48">
        <v>33.5</v>
      </c>
      <c r="I48">
        <v>0.05</v>
      </c>
      <c r="J48">
        <v>12</v>
      </c>
      <c r="K48">
        <v>6</v>
      </c>
      <c r="L48">
        <v>1304</v>
      </c>
      <c r="M48">
        <v>1</v>
      </c>
      <c r="N48" t="s">
        <v>304</v>
      </c>
      <c r="O48" cm="1">
        <f t="array" ref="O48">INDEX(DataValidation!$B$2:$B$11, _xlfn.XMATCH(N48, DataValidation!$A$2:$A$11))</f>
        <v>3</v>
      </c>
      <c r="P48">
        <v>0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2</v>
      </c>
      <c r="AA48" t="s">
        <v>27</v>
      </c>
      <c r="AB48">
        <v>3</v>
      </c>
    </row>
    <row r="49" spans="1:29" x14ac:dyDescent="0.25">
      <c r="A49" t="s">
        <v>301</v>
      </c>
      <c r="B49" t="s">
        <v>315</v>
      </c>
      <c r="D49" s="5" t="s">
        <v>257</v>
      </c>
      <c r="E49" t="s">
        <v>239</v>
      </c>
      <c r="F49" s="5">
        <v>20700</v>
      </c>
      <c r="H49">
        <v>33.5</v>
      </c>
      <c r="I49">
        <v>0.05</v>
      </c>
      <c r="J49">
        <v>4</v>
      </c>
      <c r="K49">
        <v>6</v>
      </c>
      <c r="L49">
        <v>1900</v>
      </c>
      <c r="M49">
        <v>1</v>
      </c>
      <c r="N49" t="s">
        <v>304</v>
      </c>
      <c r="O49" cm="1">
        <f t="array" ref="O49">INDEX(DataValidation!$B$2:$B$11, _xlfn.XMATCH(N49, DataValidation!$A$2:$A$11))</f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2</v>
      </c>
      <c r="AA49" t="s">
        <v>27</v>
      </c>
      <c r="AB49">
        <v>3</v>
      </c>
    </row>
    <row r="50" spans="1:29" x14ac:dyDescent="0.25">
      <c r="A50" t="s">
        <v>301</v>
      </c>
      <c r="B50" t="s">
        <v>316</v>
      </c>
      <c r="D50" s="5" t="s">
        <v>257</v>
      </c>
      <c r="E50" t="s">
        <v>239</v>
      </c>
      <c r="F50" s="5">
        <v>19160</v>
      </c>
      <c r="H50">
        <v>20</v>
      </c>
      <c r="I50">
        <v>0.03</v>
      </c>
      <c r="J50">
        <v>6</v>
      </c>
      <c r="K50">
        <v>6</v>
      </c>
      <c r="L50">
        <v>914</v>
      </c>
      <c r="M50">
        <v>1</v>
      </c>
      <c r="N50" t="s">
        <v>304</v>
      </c>
      <c r="O50" cm="1">
        <f t="array" ref="O50">INDEX(DataValidation!$B$2:$B$11, _xlfn.XMATCH(N50, DataValidation!$A$2:$A$11))</f>
        <v>3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2</v>
      </c>
      <c r="AA50" t="s">
        <v>27</v>
      </c>
      <c r="AB50">
        <v>3</v>
      </c>
    </row>
    <row r="51" spans="1:29" x14ac:dyDescent="0.25">
      <c r="A51" t="s">
        <v>301</v>
      </c>
      <c r="B51" t="s">
        <v>317</v>
      </c>
      <c r="D51" s="5" t="s">
        <v>257</v>
      </c>
      <c r="E51" t="s">
        <v>239</v>
      </c>
      <c r="F51" s="5">
        <v>28130</v>
      </c>
      <c r="H51">
        <v>37</v>
      </c>
      <c r="I51">
        <v>0.05</v>
      </c>
      <c r="J51">
        <v>12</v>
      </c>
      <c r="K51">
        <v>6</v>
      </c>
      <c r="L51">
        <v>1304</v>
      </c>
      <c r="M51">
        <v>1</v>
      </c>
      <c r="N51" t="s">
        <v>304</v>
      </c>
      <c r="O51" cm="1">
        <f t="array" ref="O51">INDEX(DataValidation!$B$2:$B$11, _xlfn.XMATCH(N51, DataValidation!$A$2:$A$11))</f>
        <v>3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2</v>
      </c>
      <c r="AA51" t="s">
        <v>27</v>
      </c>
      <c r="AB51">
        <v>3</v>
      </c>
    </row>
    <row r="52" spans="1:29" x14ac:dyDescent="0.25">
      <c r="A52" t="s">
        <v>301</v>
      </c>
      <c r="B52" t="s">
        <v>318</v>
      </c>
      <c r="D52" s="5" t="s">
        <v>257</v>
      </c>
      <c r="E52" t="s">
        <v>239</v>
      </c>
      <c r="F52" s="5">
        <v>30720</v>
      </c>
      <c r="H52">
        <v>60</v>
      </c>
      <c r="I52">
        <v>0.06</v>
      </c>
      <c r="J52">
        <v>20</v>
      </c>
      <c r="K52">
        <v>6</v>
      </c>
      <c r="L52">
        <v>1800</v>
      </c>
      <c r="M52">
        <v>1</v>
      </c>
      <c r="N52" t="s">
        <v>304</v>
      </c>
      <c r="O52" cm="1">
        <f t="array" ref="O52">INDEX(DataValidation!$B$2:$B$11, _xlfn.XMATCH(N52, DataValidation!$A$2:$A$11))</f>
        <v>3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2</v>
      </c>
      <c r="AA52" t="s">
        <v>27</v>
      </c>
      <c r="AB52">
        <v>3</v>
      </c>
    </row>
    <row r="53" spans="1:29" x14ac:dyDescent="0.25">
      <c r="A53" t="s">
        <v>301</v>
      </c>
      <c r="B53" t="s">
        <v>319</v>
      </c>
      <c r="D53" s="5" t="s">
        <v>257</v>
      </c>
      <c r="E53" t="s">
        <v>239</v>
      </c>
      <c r="O53" cm="1">
        <f t="array" ref="O53">INDEX(DataValidation!$B$2:$B$11, _xlfn.XMATCH(N53, DataValidation!$A$2:$A$11))</f>
        <v>0</v>
      </c>
      <c r="AA53" t="s">
        <v>27</v>
      </c>
      <c r="AB53">
        <v>3</v>
      </c>
      <c r="AC53" t="s">
        <v>239</v>
      </c>
    </row>
    <row r="54" spans="1:29" x14ac:dyDescent="0.25">
      <c r="A54" t="s">
        <v>301</v>
      </c>
      <c r="B54" t="s">
        <v>322</v>
      </c>
      <c r="D54" s="5" t="s">
        <v>257</v>
      </c>
      <c r="E54" t="s">
        <v>239</v>
      </c>
      <c r="O54" cm="1">
        <f t="array" ref="O54">INDEX(DataValidation!$B$2:$B$11, _xlfn.XMATCH(N54, DataValidation!$A$2:$A$11))</f>
        <v>0</v>
      </c>
      <c r="AA54" t="s">
        <v>27</v>
      </c>
      <c r="AB54">
        <v>3</v>
      </c>
      <c r="AC54" t="s">
        <v>239</v>
      </c>
    </row>
    <row r="55" spans="1:29" x14ac:dyDescent="0.25">
      <c r="A55" t="s">
        <v>301</v>
      </c>
      <c r="B55" t="s">
        <v>323</v>
      </c>
      <c r="D55" s="5" t="s">
        <v>257</v>
      </c>
      <c r="E55" t="s">
        <v>239</v>
      </c>
      <c r="O55" cm="1">
        <f t="array" ref="O55">INDEX(DataValidation!$B$2:$B$11, _xlfn.XMATCH(N55, DataValidation!$A$2:$A$11))</f>
        <v>0</v>
      </c>
      <c r="AA55" t="s">
        <v>27</v>
      </c>
      <c r="AB55">
        <v>3</v>
      </c>
      <c r="AC55" t="s">
        <v>239</v>
      </c>
    </row>
    <row r="56" spans="1:29" x14ac:dyDescent="0.25">
      <c r="A56" t="s">
        <v>24</v>
      </c>
      <c r="B56" t="s">
        <v>25</v>
      </c>
      <c r="C56" s="17" t="s">
        <v>28</v>
      </c>
      <c r="D56" s="5" t="s">
        <v>239</v>
      </c>
      <c r="E56" t="s">
        <v>239</v>
      </c>
      <c r="H56">
        <v>14</v>
      </c>
      <c r="I56">
        <v>0.03</v>
      </c>
      <c r="J56">
        <v>3</v>
      </c>
      <c r="K56">
        <v>6</v>
      </c>
      <c r="L56">
        <v>575.79999999999995</v>
      </c>
      <c r="M56">
        <v>1</v>
      </c>
      <c r="N56" t="s">
        <v>294</v>
      </c>
      <c r="O56" cm="1">
        <f t="array" ref="O56">INDEX(DataValidation!$B$2:$B$11, _xlfn.XMATCH(N56, DataValidation!$A$2:$A$11))</f>
        <v>1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AA56" t="s">
        <v>27</v>
      </c>
      <c r="AB56">
        <v>3</v>
      </c>
    </row>
    <row r="57" spans="1:29" x14ac:dyDescent="0.25">
      <c r="A57" t="s">
        <v>24</v>
      </c>
      <c r="B57" t="s">
        <v>26</v>
      </c>
      <c r="C57" s="17" t="s">
        <v>39</v>
      </c>
      <c r="D57" s="5" t="s">
        <v>239</v>
      </c>
      <c r="E57" t="s">
        <v>257</v>
      </c>
      <c r="H57">
        <v>14</v>
      </c>
      <c r="I57">
        <v>0.03</v>
      </c>
      <c r="J57">
        <v>3</v>
      </c>
      <c r="K57">
        <v>6</v>
      </c>
      <c r="L57">
        <v>575.79999999999995</v>
      </c>
      <c r="M57">
        <v>1</v>
      </c>
      <c r="N57" t="s">
        <v>294</v>
      </c>
      <c r="O57" cm="1">
        <f t="array" ref="O57">INDEX(DataValidation!$B$2:$B$11, _xlfn.XMATCH(N57, DataValidation!$A$2:$A$11))</f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AA57" t="s">
        <v>27</v>
      </c>
      <c r="AB57">
        <v>3</v>
      </c>
    </row>
    <row r="58" spans="1:29" x14ac:dyDescent="0.25">
      <c r="A58" t="s">
        <v>24</v>
      </c>
      <c r="B58" t="s">
        <v>29</v>
      </c>
      <c r="C58" s="17" t="s">
        <v>40</v>
      </c>
      <c r="D58" s="5" t="s">
        <v>239</v>
      </c>
      <c r="E58" t="s">
        <v>257</v>
      </c>
      <c r="H58">
        <v>21</v>
      </c>
      <c r="I58">
        <v>0.03</v>
      </c>
      <c r="J58">
        <v>5</v>
      </c>
      <c r="K58">
        <v>6</v>
      </c>
      <c r="L58">
        <v>919</v>
      </c>
      <c r="M58">
        <v>1</v>
      </c>
      <c r="N58" t="s">
        <v>294</v>
      </c>
      <c r="O58" cm="1">
        <f t="array" ref="O58">INDEX(DataValidation!$B$2:$B$11, _xlfn.XMATCH(N58, DataValidation!$A$2:$A$11))</f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AA58" t="s">
        <v>27</v>
      </c>
      <c r="AB58">
        <v>3</v>
      </c>
    </row>
    <row r="59" spans="1:29" x14ac:dyDescent="0.25">
      <c r="A59" t="s">
        <v>24</v>
      </c>
      <c r="B59" t="s">
        <v>30</v>
      </c>
      <c r="C59" s="17" t="s">
        <v>41</v>
      </c>
      <c r="D59" s="5" t="s">
        <v>239</v>
      </c>
      <c r="E59" t="s">
        <v>239</v>
      </c>
      <c r="H59">
        <v>21</v>
      </c>
      <c r="I59">
        <v>0.03</v>
      </c>
      <c r="J59">
        <v>5</v>
      </c>
      <c r="K59">
        <v>6</v>
      </c>
      <c r="L59">
        <v>919</v>
      </c>
      <c r="M59">
        <v>1</v>
      </c>
      <c r="N59" t="s">
        <v>294</v>
      </c>
      <c r="O59" cm="1">
        <f t="array" ref="O59">INDEX(DataValidation!$B$2:$B$11, _xlfn.XMATCH(N59, DataValidation!$A$2:$A$11))</f>
        <v>1</v>
      </c>
      <c r="P59">
        <v>1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AA59" t="s">
        <v>27</v>
      </c>
      <c r="AB59">
        <v>3</v>
      </c>
    </row>
    <row r="60" spans="1:29" x14ac:dyDescent="0.25">
      <c r="A60" t="s">
        <v>24</v>
      </c>
      <c r="B60" t="s">
        <v>31</v>
      </c>
      <c r="C60" s="17" t="s">
        <v>42</v>
      </c>
      <c r="D60" s="5" t="s">
        <v>239</v>
      </c>
      <c r="E60" t="s">
        <v>257</v>
      </c>
      <c r="H60">
        <v>37</v>
      </c>
      <c r="I60">
        <v>0.03</v>
      </c>
      <c r="J60">
        <v>10</v>
      </c>
      <c r="K60">
        <v>6</v>
      </c>
      <c r="L60">
        <v>1400</v>
      </c>
      <c r="M60">
        <v>1</v>
      </c>
      <c r="N60" t="s">
        <v>294</v>
      </c>
      <c r="O60" cm="1">
        <f t="array" ref="O60">INDEX(DataValidation!$B$2:$B$11, _xlfn.XMATCH(N60, DataValidation!$A$2:$A$11))</f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AA60" t="s">
        <v>27</v>
      </c>
      <c r="AB60">
        <v>3</v>
      </c>
    </row>
    <row r="61" spans="1:29" x14ac:dyDescent="0.25">
      <c r="A61" t="s">
        <v>24</v>
      </c>
      <c r="B61" t="s">
        <v>32</v>
      </c>
      <c r="C61" s="17" t="s">
        <v>43</v>
      </c>
      <c r="D61" s="5" t="s">
        <v>239</v>
      </c>
      <c r="E61" t="s">
        <v>239</v>
      </c>
      <c r="H61">
        <v>37</v>
      </c>
      <c r="I61">
        <v>0.03</v>
      </c>
      <c r="J61">
        <v>10</v>
      </c>
      <c r="K61">
        <v>6</v>
      </c>
      <c r="L61">
        <v>1400</v>
      </c>
      <c r="M61">
        <v>1</v>
      </c>
      <c r="N61" t="s">
        <v>294</v>
      </c>
      <c r="O61" cm="1">
        <f t="array" ref="O61">INDEX(DataValidation!$B$2:$B$11, _xlfn.XMATCH(N61, DataValidation!$A$2:$A$11))</f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AA61" t="s">
        <v>27</v>
      </c>
      <c r="AB61">
        <v>3</v>
      </c>
    </row>
    <row r="62" spans="1:29" x14ac:dyDescent="0.25">
      <c r="A62" t="s">
        <v>24</v>
      </c>
      <c r="B62" t="s">
        <v>33</v>
      </c>
      <c r="C62" s="17" t="s">
        <v>44</v>
      </c>
      <c r="D62" s="5" t="s">
        <v>239</v>
      </c>
      <c r="E62" t="s">
        <v>239</v>
      </c>
      <c r="H62">
        <v>58</v>
      </c>
      <c r="I62">
        <v>0.1</v>
      </c>
      <c r="J62">
        <v>20</v>
      </c>
      <c r="K62">
        <v>6</v>
      </c>
      <c r="L62">
        <v>1777.5</v>
      </c>
      <c r="M62">
        <v>1</v>
      </c>
      <c r="N62" t="s">
        <v>294</v>
      </c>
      <c r="O62" cm="1">
        <f t="array" ref="O62">INDEX(DataValidation!$B$2:$B$11, _xlfn.XMATCH(N62, DataValidation!$A$2:$A$11))</f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AA62" t="s">
        <v>27</v>
      </c>
      <c r="AB62">
        <v>3</v>
      </c>
    </row>
    <row r="63" spans="1:29" x14ac:dyDescent="0.25">
      <c r="A63" t="s">
        <v>24</v>
      </c>
      <c r="B63" t="s">
        <v>34</v>
      </c>
      <c r="C63" s="17" t="s">
        <v>45</v>
      </c>
      <c r="D63" s="5" t="s">
        <v>239</v>
      </c>
      <c r="E63" t="s">
        <v>257</v>
      </c>
      <c r="H63">
        <v>58</v>
      </c>
      <c r="I63">
        <v>0.1</v>
      </c>
      <c r="J63">
        <v>20</v>
      </c>
      <c r="K63">
        <v>6</v>
      </c>
      <c r="L63">
        <v>1777.5</v>
      </c>
      <c r="M63">
        <v>1</v>
      </c>
      <c r="N63" t="s">
        <v>294</v>
      </c>
      <c r="O63" cm="1">
        <f t="array" ref="O63">INDEX(DataValidation!$B$2:$B$11, _xlfn.XMATCH(N63, DataValidation!$A$2:$A$11))</f>
        <v>1</v>
      </c>
      <c r="P63">
        <v>1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AA63" t="s">
        <v>27</v>
      </c>
      <c r="AB63">
        <v>3</v>
      </c>
    </row>
    <row r="64" spans="1:29" x14ac:dyDescent="0.25">
      <c r="A64" t="s">
        <v>24</v>
      </c>
      <c r="B64" t="s">
        <v>38</v>
      </c>
      <c r="C64" s="17" t="s">
        <v>35</v>
      </c>
      <c r="D64" s="5" t="s">
        <v>239</v>
      </c>
      <c r="E64" t="s">
        <v>257</v>
      </c>
      <c r="M64">
        <v>1</v>
      </c>
      <c r="O64" cm="1">
        <f t="array" ref="O64">INDEX(DataValidation!$B$2:$B$11, _xlfn.XMATCH(N64, DataValidation!$A$2:$A$11))</f>
        <v>0</v>
      </c>
      <c r="P64">
        <v>0</v>
      </c>
      <c r="X64">
        <v>0</v>
      </c>
      <c r="Y64">
        <v>1</v>
      </c>
      <c r="AA64" t="s">
        <v>27</v>
      </c>
      <c r="AB64">
        <v>2</v>
      </c>
      <c r="AC64" t="s">
        <v>239</v>
      </c>
    </row>
    <row r="65" spans="1:29" x14ac:dyDescent="0.25">
      <c r="A65" t="s">
        <v>24</v>
      </c>
      <c r="B65" t="s">
        <v>37</v>
      </c>
      <c r="C65" s="17" t="s">
        <v>36</v>
      </c>
      <c r="D65" s="5" t="s">
        <v>239</v>
      </c>
      <c r="E65" t="s">
        <v>257</v>
      </c>
      <c r="M65">
        <v>1</v>
      </c>
      <c r="O65" cm="1">
        <f t="array" ref="O65">INDEX(DataValidation!$B$2:$B$11, _xlfn.XMATCH(N65, DataValidation!$A$2:$A$11))</f>
        <v>0</v>
      </c>
      <c r="P65">
        <v>0</v>
      </c>
      <c r="X65">
        <v>0</v>
      </c>
      <c r="Y65">
        <v>1</v>
      </c>
      <c r="AA65" t="s">
        <v>27</v>
      </c>
      <c r="AB65">
        <v>2</v>
      </c>
      <c r="AC65" t="s">
        <v>239</v>
      </c>
    </row>
    <row r="66" spans="1:29" x14ac:dyDescent="0.25">
      <c r="A66" t="s">
        <v>324</v>
      </c>
      <c r="B66" t="s">
        <v>325</v>
      </c>
      <c r="C66" s="17"/>
      <c r="D66" s="5" t="s">
        <v>257</v>
      </c>
      <c r="E66" t="s">
        <v>239</v>
      </c>
      <c r="F66" s="5">
        <v>26590</v>
      </c>
      <c r="H66">
        <v>16</v>
      </c>
      <c r="I66">
        <v>0.1</v>
      </c>
      <c r="J66">
        <v>5</v>
      </c>
      <c r="K66">
        <v>6</v>
      </c>
      <c r="L66">
        <v>900</v>
      </c>
      <c r="M66">
        <v>1</v>
      </c>
      <c r="N66" t="s">
        <v>304</v>
      </c>
      <c r="O66" cm="1">
        <f t="array" ref="O66">INDEX(DataValidation!$B$2:$B$11, _xlfn.XMATCH(N66, DataValidation!$A$2:$A$11))</f>
        <v>3</v>
      </c>
      <c r="P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2</v>
      </c>
      <c r="AA66" t="s">
        <v>326</v>
      </c>
      <c r="AB66">
        <v>3</v>
      </c>
    </row>
    <row r="67" spans="1:29" x14ac:dyDescent="0.25">
      <c r="A67" t="s">
        <v>3</v>
      </c>
      <c r="B67" t="s">
        <v>109</v>
      </c>
      <c r="C67" s="17" t="s">
        <v>78</v>
      </c>
      <c r="D67" s="5" t="s">
        <v>239</v>
      </c>
      <c r="E67" t="s">
        <v>239</v>
      </c>
      <c r="F67" s="5">
        <v>32000</v>
      </c>
      <c r="H67">
        <v>25</v>
      </c>
      <c r="I67">
        <v>0.03</v>
      </c>
      <c r="J67">
        <v>5</v>
      </c>
      <c r="K67">
        <v>6</v>
      </c>
      <c r="L67">
        <v>994</v>
      </c>
      <c r="M67">
        <v>1</v>
      </c>
      <c r="N67" t="s">
        <v>304</v>
      </c>
      <c r="O67" cm="1">
        <f t="array" ref="O67">INDEX(DataValidation!$B$2:$B$11, _xlfn.XMATCH(N67, DataValidation!$A$2:$A$11))</f>
        <v>3</v>
      </c>
      <c r="P67">
        <v>0</v>
      </c>
      <c r="Q67">
        <v>1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2</v>
      </c>
      <c r="AA67" t="s">
        <v>54</v>
      </c>
      <c r="AB67">
        <v>3</v>
      </c>
    </row>
    <row r="68" spans="1:29" x14ac:dyDescent="0.25">
      <c r="A68" t="s">
        <v>3</v>
      </c>
      <c r="B68" t="s">
        <v>110</v>
      </c>
      <c r="C68" s="17"/>
      <c r="D68" s="5" t="s">
        <v>239</v>
      </c>
      <c r="E68" t="s">
        <v>239</v>
      </c>
      <c r="F68" s="5">
        <v>37000</v>
      </c>
      <c r="H68">
        <v>40</v>
      </c>
      <c r="I68">
        <v>0.04</v>
      </c>
      <c r="J68">
        <v>10</v>
      </c>
      <c r="K68">
        <v>6</v>
      </c>
      <c r="L68">
        <v>1249</v>
      </c>
      <c r="M68">
        <v>1</v>
      </c>
      <c r="N68" t="s">
        <v>304</v>
      </c>
      <c r="O68" cm="1">
        <f t="array" ref="O68">INDEX(DataValidation!$B$2:$B$11, _xlfn.XMATCH(N68, DataValidation!$A$2:$A$11))</f>
        <v>3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1</v>
      </c>
      <c r="X68">
        <v>0</v>
      </c>
      <c r="Y68">
        <v>2</v>
      </c>
      <c r="AA68" t="s">
        <v>54</v>
      </c>
      <c r="AB68">
        <v>3</v>
      </c>
    </row>
    <row r="69" spans="1:29" x14ac:dyDescent="0.25">
      <c r="A69" t="s">
        <v>3</v>
      </c>
      <c r="B69" t="s">
        <v>111</v>
      </c>
      <c r="C69" s="17"/>
      <c r="D69" s="5" t="s">
        <v>239</v>
      </c>
      <c r="E69" t="s">
        <v>239</v>
      </c>
      <c r="F69" s="5">
        <v>38500</v>
      </c>
      <c r="H69">
        <v>40</v>
      </c>
      <c r="I69">
        <v>0.04</v>
      </c>
      <c r="J69">
        <v>10</v>
      </c>
      <c r="K69">
        <v>6</v>
      </c>
      <c r="L69">
        <v>1418</v>
      </c>
      <c r="M69">
        <v>1</v>
      </c>
      <c r="N69" t="s">
        <v>304</v>
      </c>
      <c r="O69" cm="1">
        <f t="array" ref="O69">INDEX(DataValidation!$B$2:$B$11, _xlfn.XMATCH(N69, DataValidation!$A$2:$A$11))</f>
        <v>3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0</v>
      </c>
      <c r="Y69">
        <v>2</v>
      </c>
      <c r="AA69" t="s">
        <v>54</v>
      </c>
      <c r="AB69">
        <v>3</v>
      </c>
    </row>
    <row r="70" spans="1:29" x14ac:dyDescent="0.25">
      <c r="A70" t="s">
        <v>3</v>
      </c>
      <c r="B70" t="s">
        <v>112</v>
      </c>
      <c r="C70" s="17"/>
      <c r="D70" s="5" t="s">
        <v>239</v>
      </c>
      <c r="E70" t="s">
        <v>239</v>
      </c>
      <c r="F70" s="5">
        <v>45000</v>
      </c>
      <c r="H70">
        <v>41</v>
      </c>
      <c r="I70">
        <v>0.04</v>
      </c>
      <c r="J70">
        <v>20</v>
      </c>
      <c r="K70">
        <v>6</v>
      </c>
      <c r="L70">
        <v>1418</v>
      </c>
      <c r="M70">
        <v>1</v>
      </c>
      <c r="N70" t="s">
        <v>304</v>
      </c>
      <c r="O70" cm="1">
        <f t="array" ref="O70">INDEX(DataValidation!$B$2:$B$11, _xlfn.XMATCH(N70, DataValidation!$A$2:$A$11))</f>
        <v>3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2</v>
      </c>
      <c r="AA70" t="s">
        <v>54</v>
      </c>
      <c r="AB70">
        <v>3</v>
      </c>
    </row>
    <row r="71" spans="1:29" x14ac:dyDescent="0.25">
      <c r="A71" t="s">
        <v>3</v>
      </c>
      <c r="B71" t="s">
        <v>328</v>
      </c>
      <c r="C71" s="17"/>
      <c r="D71" s="5" t="s">
        <v>257</v>
      </c>
      <c r="E71" t="s">
        <v>239</v>
      </c>
      <c r="F71" s="5">
        <v>52000</v>
      </c>
      <c r="H71">
        <v>135</v>
      </c>
      <c r="I71">
        <v>0.05</v>
      </c>
      <c r="J71">
        <v>30</v>
      </c>
      <c r="K71">
        <v>6</v>
      </c>
      <c r="L71">
        <v>1889</v>
      </c>
      <c r="M71">
        <v>1</v>
      </c>
      <c r="N71" t="s">
        <v>304</v>
      </c>
      <c r="O71" cm="1">
        <f t="array" ref="O71">INDEX(DataValidation!$B$2:$B$11, _xlfn.XMATCH(N71, DataValidation!$A$2:$A$11))</f>
        <v>3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0</v>
      </c>
      <c r="Y71">
        <v>2</v>
      </c>
      <c r="AA71" t="s">
        <v>54</v>
      </c>
      <c r="AB71">
        <v>3</v>
      </c>
    </row>
    <row r="72" spans="1:29" x14ac:dyDescent="0.25">
      <c r="A72" t="s">
        <v>3</v>
      </c>
      <c r="B72" t="s">
        <v>113</v>
      </c>
      <c r="C72" s="17"/>
      <c r="D72" s="5" t="s">
        <v>239</v>
      </c>
      <c r="E72" t="s">
        <v>239</v>
      </c>
      <c r="H72">
        <v>135</v>
      </c>
      <c r="I72">
        <v>0.05</v>
      </c>
      <c r="J72">
        <v>30</v>
      </c>
      <c r="K72">
        <v>6</v>
      </c>
      <c r="L72">
        <v>1756</v>
      </c>
      <c r="M72">
        <v>1</v>
      </c>
      <c r="N72" t="s">
        <v>304</v>
      </c>
      <c r="O72" cm="1">
        <f t="array" ref="O72">INDEX(DataValidation!$B$2:$B$11, _xlfn.XMATCH(N72, DataValidation!$A$2:$A$11))</f>
        <v>3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1</v>
      </c>
      <c r="X72">
        <v>0</v>
      </c>
      <c r="Y72">
        <v>2</v>
      </c>
      <c r="AA72" t="s">
        <v>54</v>
      </c>
      <c r="AB72">
        <v>3</v>
      </c>
    </row>
    <row r="73" spans="1:29" x14ac:dyDescent="0.25">
      <c r="A73" t="s">
        <v>336</v>
      </c>
      <c r="B73" t="s">
        <v>327</v>
      </c>
      <c r="C73" s="17"/>
      <c r="D73" s="5" t="s">
        <v>257</v>
      </c>
      <c r="E73" t="s">
        <v>239</v>
      </c>
      <c r="H73">
        <v>20</v>
      </c>
      <c r="I73">
        <v>0.05</v>
      </c>
      <c r="J73">
        <v>4</v>
      </c>
      <c r="K73">
        <v>7</v>
      </c>
      <c r="L73">
        <v>876</v>
      </c>
      <c r="M73">
        <v>1</v>
      </c>
      <c r="N73" t="s">
        <v>294</v>
      </c>
      <c r="O73" cm="1">
        <f t="array" ref="O73">INDEX(DataValidation!$B$2:$B$11, _xlfn.XMATCH(N73, DataValidation!$A$2:$A$11))</f>
        <v>1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AA73" t="s">
        <v>27</v>
      </c>
      <c r="AB73">
        <v>3</v>
      </c>
    </row>
    <row r="74" spans="1:29" x14ac:dyDescent="0.25">
      <c r="A74" t="s">
        <v>329</v>
      </c>
      <c r="B74" t="s">
        <v>330</v>
      </c>
      <c r="C74" s="17"/>
      <c r="D74" s="5" t="s">
        <v>257</v>
      </c>
      <c r="E74" t="s">
        <v>239</v>
      </c>
      <c r="H74">
        <v>42</v>
      </c>
      <c r="I74">
        <v>0.04</v>
      </c>
      <c r="J74">
        <v>14</v>
      </c>
      <c r="K74">
        <v>6</v>
      </c>
      <c r="L74">
        <v>1420</v>
      </c>
      <c r="M74">
        <v>1</v>
      </c>
      <c r="N74" t="s">
        <v>294</v>
      </c>
      <c r="O74" cm="1">
        <f t="array" ref="O74">INDEX(DataValidation!$B$2:$B$11, _xlfn.XMATCH(N74, DataValidation!$A$2:$A$11))</f>
        <v>1</v>
      </c>
      <c r="P74">
        <v>0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2</v>
      </c>
      <c r="AA74" t="s">
        <v>331</v>
      </c>
      <c r="AB74">
        <v>3</v>
      </c>
    </row>
    <row r="75" spans="1:29" x14ac:dyDescent="0.25">
      <c r="A75" t="s">
        <v>332</v>
      </c>
      <c r="B75" t="s">
        <v>333</v>
      </c>
      <c r="C75" s="17"/>
      <c r="D75" s="5" t="s">
        <v>257</v>
      </c>
      <c r="E75" t="s">
        <v>239</v>
      </c>
      <c r="H75">
        <v>43</v>
      </c>
      <c r="I75">
        <v>0.1</v>
      </c>
      <c r="J75">
        <v>12</v>
      </c>
      <c r="K75">
        <v>6</v>
      </c>
      <c r="L75">
        <v>1350</v>
      </c>
      <c r="M75">
        <v>1</v>
      </c>
      <c r="N75" t="s">
        <v>294</v>
      </c>
      <c r="O75" cm="1">
        <f t="array" ref="O75">INDEX(DataValidation!$B$2:$B$11, _xlfn.XMATCH(N75, DataValidation!$A$2:$A$11))</f>
        <v>1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2</v>
      </c>
      <c r="AA75" t="s">
        <v>331</v>
      </c>
      <c r="AB75">
        <v>3</v>
      </c>
    </row>
    <row r="76" spans="1:29" x14ac:dyDescent="0.25">
      <c r="A76" t="s">
        <v>332</v>
      </c>
      <c r="B76" t="s">
        <v>334</v>
      </c>
      <c r="C76" s="17"/>
      <c r="D76" s="5" t="s">
        <v>257</v>
      </c>
      <c r="E76" t="s">
        <v>239</v>
      </c>
      <c r="H76">
        <v>27</v>
      </c>
      <c r="I76">
        <v>0.01</v>
      </c>
      <c r="J76">
        <v>5</v>
      </c>
      <c r="K76">
        <v>6</v>
      </c>
      <c r="L76">
        <v>916</v>
      </c>
      <c r="M76">
        <v>1</v>
      </c>
      <c r="N76" t="s">
        <v>294</v>
      </c>
      <c r="O76" cm="1">
        <f t="array" ref="O76">INDEX(DataValidation!$B$2:$B$11, _xlfn.XMATCH(N76, DataValidation!$A$2:$A$11))</f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2</v>
      </c>
      <c r="AA76" t="s">
        <v>331</v>
      </c>
      <c r="AB76">
        <v>3</v>
      </c>
    </row>
    <row r="77" spans="1:29" x14ac:dyDescent="0.25">
      <c r="A77" t="s">
        <v>332</v>
      </c>
      <c r="B77" t="s">
        <v>335</v>
      </c>
      <c r="C77" s="17"/>
      <c r="D77" s="5" t="s">
        <v>257</v>
      </c>
      <c r="E77" t="s">
        <v>239</v>
      </c>
      <c r="H77">
        <v>42</v>
      </c>
      <c r="I77">
        <v>0.01</v>
      </c>
      <c r="J77">
        <v>15</v>
      </c>
      <c r="K77">
        <v>6</v>
      </c>
      <c r="L77">
        <v>963</v>
      </c>
      <c r="M77">
        <v>1</v>
      </c>
      <c r="N77" t="s">
        <v>294</v>
      </c>
      <c r="O77" cm="1">
        <f t="array" ref="O77">INDEX(DataValidation!$B$2:$B$11, _xlfn.XMATCH(N77, DataValidation!$A$2:$A$11))</f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2</v>
      </c>
      <c r="AA77" t="s">
        <v>331</v>
      </c>
      <c r="AB77">
        <v>3</v>
      </c>
    </row>
    <row r="78" spans="1:29" x14ac:dyDescent="0.25">
      <c r="A78" t="s">
        <v>337</v>
      </c>
      <c r="B78" t="s">
        <v>338</v>
      </c>
      <c r="C78" s="17"/>
      <c r="D78" s="5" t="s">
        <v>257</v>
      </c>
      <c r="E78" t="s">
        <v>239</v>
      </c>
      <c r="F78" s="5">
        <v>4250</v>
      </c>
      <c r="H78">
        <v>6</v>
      </c>
      <c r="I78">
        <v>1</v>
      </c>
      <c r="J78">
        <v>3</v>
      </c>
      <c r="K78">
        <v>4</v>
      </c>
      <c r="L78">
        <v>495</v>
      </c>
      <c r="M78">
        <v>1</v>
      </c>
      <c r="N78" t="s">
        <v>294</v>
      </c>
      <c r="O78" cm="1">
        <f t="array" ref="O78">INDEX(DataValidation!$B$2:$B$11, _xlfn.XMATCH(N78, DataValidation!$A$2:$A$11))</f>
        <v>1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1</v>
      </c>
      <c r="W78">
        <v>1</v>
      </c>
      <c r="X78">
        <v>0</v>
      </c>
      <c r="Y78">
        <v>2</v>
      </c>
      <c r="AA78" t="s">
        <v>9</v>
      </c>
      <c r="AB78">
        <v>3</v>
      </c>
    </row>
    <row r="79" spans="1:29" x14ac:dyDescent="0.25">
      <c r="A79" t="s">
        <v>337</v>
      </c>
      <c r="B79" t="s">
        <v>339</v>
      </c>
      <c r="C79" s="17"/>
      <c r="D79" s="5" t="s">
        <v>257</v>
      </c>
      <c r="E79" t="s">
        <v>239</v>
      </c>
      <c r="F79" s="5">
        <v>2900</v>
      </c>
      <c r="H79">
        <v>7</v>
      </c>
      <c r="I79">
        <v>1</v>
      </c>
      <c r="J79">
        <v>3</v>
      </c>
      <c r="K79">
        <v>4</v>
      </c>
      <c r="L79">
        <v>495</v>
      </c>
      <c r="M79">
        <v>1</v>
      </c>
      <c r="N79" t="s">
        <v>305</v>
      </c>
      <c r="O79" cm="1">
        <f t="array" ref="O79">INDEX(DataValidation!$B$2:$B$11, _xlfn.XMATCH(N79, DataValidation!$A$2:$A$11))</f>
        <v>3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1</v>
      </c>
      <c r="W79">
        <v>1</v>
      </c>
      <c r="X79">
        <v>0</v>
      </c>
      <c r="Y79">
        <v>2</v>
      </c>
      <c r="AA79" t="s">
        <v>9</v>
      </c>
      <c r="AB79">
        <v>3</v>
      </c>
    </row>
    <row r="80" spans="1:29" x14ac:dyDescent="0.25">
      <c r="A80" t="s">
        <v>337</v>
      </c>
      <c r="B80" t="s">
        <v>340</v>
      </c>
      <c r="C80" s="17"/>
      <c r="D80" s="5" t="s">
        <v>257</v>
      </c>
      <c r="E80" t="s">
        <v>239</v>
      </c>
      <c r="F80" s="5">
        <v>4970</v>
      </c>
      <c r="H80">
        <v>8</v>
      </c>
      <c r="I80">
        <v>1</v>
      </c>
      <c r="J80">
        <v>2</v>
      </c>
      <c r="K80">
        <v>6</v>
      </c>
      <c r="L80">
        <v>664</v>
      </c>
      <c r="M80">
        <v>1</v>
      </c>
      <c r="N80" t="s">
        <v>294</v>
      </c>
      <c r="O80" cm="1">
        <f t="array" ref="O80">INDEX(DataValidation!$B$2:$B$11, _xlfn.XMATCH(N80, DataValidation!$A$2:$A$11))</f>
        <v>1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2</v>
      </c>
      <c r="AA80" t="s">
        <v>9</v>
      </c>
      <c r="AB80">
        <v>3</v>
      </c>
    </row>
    <row r="81" spans="1:28" x14ac:dyDescent="0.25">
      <c r="A81" t="s">
        <v>337</v>
      </c>
      <c r="B81" t="s">
        <v>341</v>
      </c>
      <c r="C81" s="17"/>
      <c r="D81" s="5" t="s">
        <v>257</v>
      </c>
      <c r="E81" t="s">
        <v>239</v>
      </c>
      <c r="F81" s="5">
        <v>4200</v>
      </c>
      <c r="H81">
        <v>8</v>
      </c>
      <c r="I81">
        <v>1</v>
      </c>
      <c r="J81">
        <v>2</v>
      </c>
      <c r="K81">
        <v>6</v>
      </c>
      <c r="L81">
        <v>664</v>
      </c>
      <c r="M81">
        <v>1</v>
      </c>
      <c r="N81" t="s">
        <v>305</v>
      </c>
      <c r="O81" cm="1">
        <f t="array" ref="O81">INDEX(DataValidation!$B$2:$B$11, _xlfn.XMATCH(N81, DataValidation!$A$2:$A$11))</f>
        <v>3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1</v>
      </c>
      <c r="W81">
        <v>1</v>
      </c>
      <c r="X81">
        <v>0</v>
      </c>
      <c r="Y81">
        <v>2</v>
      </c>
      <c r="AA81" t="s">
        <v>9</v>
      </c>
      <c r="AB81">
        <v>3</v>
      </c>
    </row>
    <row r="82" spans="1:28" x14ac:dyDescent="0.25">
      <c r="A82" t="s">
        <v>46</v>
      </c>
      <c r="B82" t="s">
        <v>115</v>
      </c>
      <c r="C82" s="17" t="s">
        <v>47</v>
      </c>
      <c r="D82" s="5" t="s">
        <v>239</v>
      </c>
      <c r="E82" t="s">
        <v>257</v>
      </c>
      <c r="F82" s="5">
        <v>16500</v>
      </c>
      <c r="H82">
        <v>12</v>
      </c>
      <c r="I82">
        <v>0.02</v>
      </c>
      <c r="J82">
        <v>3</v>
      </c>
      <c r="K82">
        <v>6</v>
      </c>
      <c r="L82">
        <v>626</v>
      </c>
      <c r="M82">
        <v>1</v>
      </c>
      <c r="N82" t="s">
        <v>258</v>
      </c>
      <c r="O82" cm="1">
        <f t="array" ref="O82">INDEX(DataValidation!$B$2:$B$11, _xlfn.XMATCH(N82, DataValidation!$A$2:$A$11))</f>
        <v>2</v>
      </c>
      <c r="P82">
        <v>0</v>
      </c>
      <c r="Q82">
        <v>1</v>
      </c>
      <c r="R82">
        <v>0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2</v>
      </c>
      <c r="AA82" t="s">
        <v>9</v>
      </c>
      <c r="AB82">
        <v>3</v>
      </c>
    </row>
    <row r="83" spans="1:28" x14ac:dyDescent="0.25">
      <c r="A83" t="s">
        <v>46</v>
      </c>
      <c r="B83" t="s">
        <v>114</v>
      </c>
      <c r="C83" s="17"/>
      <c r="D83" s="5" t="s">
        <v>239</v>
      </c>
      <c r="E83" t="s">
        <v>257</v>
      </c>
      <c r="F83" s="5">
        <v>19000</v>
      </c>
      <c r="H83">
        <v>23</v>
      </c>
      <c r="I83">
        <v>0.02</v>
      </c>
      <c r="J83">
        <v>5</v>
      </c>
      <c r="K83">
        <v>6</v>
      </c>
      <c r="L83">
        <v>954</v>
      </c>
      <c r="M83">
        <v>1</v>
      </c>
      <c r="N83" t="s">
        <v>258</v>
      </c>
      <c r="O83" cm="1">
        <f t="array" ref="O83">INDEX(DataValidation!$B$2:$B$11, _xlfn.XMATCH(N83, DataValidation!$A$2:$A$11))</f>
        <v>2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>
        <v>0</v>
      </c>
      <c r="Y83">
        <v>2</v>
      </c>
      <c r="AA83" t="s">
        <v>9</v>
      </c>
      <c r="AB83">
        <v>3</v>
      </c>
    </row>
    <row r="84" spans="1:28" x14ac:dyDescent="0.25">
      <c r="A84" t="s">
        <v>46</v>
      </c>
      <c r="B84" t="s">
        <v>116</v>
      </c>
      <c r="C84" s="17"/>
      <c r="D84" s="5" t="s">
        <v>239</v>
      </c>
      <c r="E84" t="s">
        <v>257</v>
      </c>
      <c r="F84" s="5">
        <v>19000</v>
      </c>
      <c r="H84">
        <v>22</v>
      </c>
      <c r="I84">
        <v>0.02</v>
      </c>
      <c r="J84">
        <v>7</v>
      </c>
      <c r="K84">
        <v>6</v>
      </c>
      <c r="L84">
        <v>819</v>
      </c>
      <c r="M84">
        <v>1</v>
      </c>
      <c r="N84" t="s">
        <v>258</v>
      </c>
      <c r="O84" cm="1">
        <f t="array" ref="O84">INDEX(DataValidation!$B$2:$B$11, _xlfn.XMATCH(N84, DataValidation!$A$2:$A$11))</f>
        <v>2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1</v>
      </c>
      <c r="X84">
        <v>0</v>
      </c>
      <c r="Y84">
        <v>2</v>
      </c>
      <c r="AA84" t="s">
        <v>9</v>
      </c>
      <c r="AB84">
        <v>3</v>
      </c>
    </row>
    <row r="85" spans="1:28" x14ac:dyDescent="0.25">
      <c r="A85" t="s">
        <v>46</v>
      </c>
      <c r="B85" t="s">
        <v>117</v>
      </c>
      <c r="C85" s="17"/>
      <c r="D85" s="5" t="s">
        <v>239</v>
      </c>
      <c r="E85" t="s">
        <v>257</v>
      </c>
      <c r="F85" s="5">
        <v>23500</v>
      </c>
      <c r="H85">
        <v>41.3</v>
      </c>
      <c r="I85">
        <v>0.03</v>
      </c>
      <c r="J85">
        <v>12</v>
      </c>
      <c r="K85">
        <v>6</v>
      </c>
      <c r="L85">
        <v>1327</v>
      </c>
      <c r="M85">
        <v>1</v>
      </c>
      <c r="N85" t="s">
        <v>258</v>
      </c>
      <c r="O85" cm="1">
        <f t="array" ref="O85">INDEX(DataValidation!$B$2:$B$11, _xlfn.XMATCH(N85, DataValidation!$A$2:$A$11))</f>
        <v>2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1</v>
      </c>
      <c r="X85">
        <v>0</v>
      </c>
      <c r="Y85">
        <v>2</v>
      </c>
      <c r="AA85" t="s">
        <v>9</v>
      </c>
      <c r="AB85">
        <v>3</v>
      </c>
    </row>
    <row r="86" spans="1:28" x14ac:dyDescent="0.25">
      <c r="A86" t="s">
        <v>46</v>
      </c>
      <c r="B86" t="s">
        <v>118</v>
      </c>
      <c r="C86" s="17"/>
      <c r="D86" s="5" t="s">
        <v>239</v>
      </c>
      <c r="E86" t="s">
        <v>239</v>
      </c>
      <c r="F86" s="5">
        <v>24500</v>
      </c>
      <c r="H86">
        <v>35</v>
      </c>
      <c r="I86">
        <v>0.03</v>
      </c>
      <c r="J86">
        <v>18</v>
      </c>
      <c r="K86">
        <v>6</v>
      </c>
      <c r="L86">
        <v>1073</v>
      </c>
      <c r="M86">
        <v>1</v>
      </c>
      <c r="N86" t="s">
        <v>258</v>
      </c>
      <c r="O86" cm="1">
        <f t="array" ref="O86">INDEX(DataValidation!$B$2:$B$11, _xlfn.XMATCH(N86, DataValidation!$A$2:$A$11))</f>
        <v>2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1</v>
      </c>
      <c r="X86">
        <v>0</v>
      </c>
      <c r="Y86">
        <v>2</v>
      </c>
      <c r="AA86" t="s">
        <v>9</v>
      </c>
      <c r="AB86">
        <v>3</v>
      </c>
    </row>
    <row r="87" spans="1:28" x14ac:dyDescent="0.25">
      <c r="A87" t="s">
        <v>46</v>
      </c>
      <c r="B87" t="s">
        <v>119</v>
      </c>
      <c r="C87" s="17" t="s">
        <v>48</v>
      </c>
      <c r="D87" s="5" t="s">
        <v>239</v>
      </c>
      <c r="E87" t="s">
        <v>239</v>
      </c>
      <c r="F87" s="5">
        <v>22330</v>
      </c>
      <c r="H87">
        <v>12</v>
      </c>
      <c r="I87">
        <v>0.02</v>
      </c>
      <c r="J87">
        <v>3</v>
      </c>
      <c r="K87">
        <v>6</v>
      </c>
      <c r="L87">
        <v>626</v>
      </c>
      <c r="M87">
        <v>1</v>
      </c>
      <c r="N87" t="s">
        <v>258</v>
      </c>
      <c r="O87" cm="1">
        <f t="array" ref="O87">INDEX(DataValidation!$B$2:$B$11, _xlfn.XMATCH(N87, DataValidation!$A$2:$A$11))</f>
        <v>2</v>
      </c>
      <c r="P87">
        <v>1</v>
      </c>
      <c r="Q87">
        <v>1</v>
      </c>
      <c r="R87">
        <v>0</v>
      </c>
      <c r="S87">
        <v>1</v>
      </c>
      <c r="T87">
        <v>1</v>
      </c>
      <c r="U87">
        <v>1</v>
      </c>
      <c r="V87">
        <v>0</v>
      </c>
      <c r="W87">
        <v>1</v>
      </c>
      <c r="X87">
        <v>0</v>
      </c>
      <c r="Y87">
        <v>2</v>
      </c>
      <c r="AA87" t="s">
        <v>9</v>
      </c>
      <c r="AB87">
        <v>3</v>
      </c>
    </row>
    <row r="88" spans="1:28" x14ac:dyDescent="0.25">
      <c r="A88" t="s">
        <v>46</v>
      </c>
      <c r="B88" t="s">
        <v>120</v>
      </c>
      <c r="C88" s="17"/>
      <c r="D88" s="5" t="s">
        <v>239</v>
      </c>
      <c r="E88" t="s">
        <v>257</v>
      </c>
      <c r="F88" s="5">
        <v>25310</v>
      </c>
      <c r="H88">
        <v>23</v>
      </c>
      <c r="I88">
        <v>0.02</v>
      </c>
      <c r="J88">
        <v>5</v>
      </c>
      <c r="K88">
        <v>6</v>
      </c>
      <c r="L88">
        <v>954</v>
      </c>
      <c r="M88">
        <v>1</v>
      </c>
      <c r="N88" t="s">
        <v>258</v>
      </c>
      <c r="O88" cm="1">
        <f t="array" ref="O88">INDEX(DataValidation!$B$2:$B$11, _xlfn.XMATCH(N88, DataValidation!$A$2:$A$11))</f>
        <v>2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1</v>
      </c>
      <c r="X88">
        <v>0</v>
      </c>
      <c r="Y88">
        <v>2</v>
      </c>
      <c r="AA88" t="s">
        <v>9</v>
      </c>
      <c r="AB88">
        <v>3</v>
      </c>
    </row>
    <row r="89" spans="1:28" x14ac:dyDescent="0.25">
      <c r="A89" t="s">
        <v>46</v>
      </c>
      <c r="B89" t="s">
        <v>121</v>
      </c>
      <c r="C89" s="17"/>
      <c r="D89" s="5" t="s">
        <v>239</v>
      </c>
      <c r="E89" t="s">
        <v>257</v>
      </c>
      <c r="F89" s="5">
        <v>25310</v>
      </c>
      <c r="H89">
        <v>22.3</v>
      </c>
      <c r="I89">
        <v>0.02</v>
      </c>
      <c r="J89">
        <v>7</v>
      </c>
      <c r="K89">
        <v>6</v>
      </c>
      <c r="L89">
        <v>819</v>
      </c>
      <c r="M89">
        <v>1</v>
      </c>
      <c r="N89" t="s">
        <v>258</v>
      </c>
      <c r="O89" cm="1">
        <f t="array" ref="O89">INDEX(DataValidation!$B$2:$B$11, _xlfn.XMATCH(N89, DataValidation!$A$2:$A$11))</f>
        <v>2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0</v>
      </c>
      <c r="Y89">
        <v>2</v>
      </c>
      <c r="AA89" t="s">
        <v>9</v>
      </c>
      <c r="AB89">
        <v>3</v>
      </c>
    </row>
    <row r="90" spans="1:28" x14ac:dyDescent="0.25">
      <c r="A90" t="s">
        <v>46</v>
      </c>
      <c r="B90" t="s">
        <v>122</v>
      </c>
      <c r="C90" s="17"/>
      <c r="D90" s="5" t="s">
        <v>239</v>
      </c>
      <c r="E90" t="s">
        <v>257</v>
      </c>
      <c r="F90" s="5">
        <v>30300</v>
      </c>
      <c r="H90">
        <v>41.3</v>
      </c>
      <c r="I90">
        <v>0.03</v>
      </c>
      <c r="J90">
        <v>12</v>
      </c>
      <c r="K90">
        <v>6</v>
      </c>
      <c r="L90">
        <v>1327</v>
      </c>
      <c r="M90">
        <v>1</v>
      </c>
      <c r="N90" t="s">
        <v>258</v>
      </c>
      <c r="O90" cm="1">
        <f t="array" ref="O90">INDEX(DataValidation!$B$2:$B$11, _xlfn.XMATCH(N90, DataValidation!$A$2:$A$11))</f>
        <v>2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2</v>
      </c>
      <c r="AA90" t="s">
        <v>9</v>
      </c>
      <c r="AB90">
        <v>3</v>
      </c>
    </row>
    <row r="91" spans="1:28" x14ac:dyDescent="0.25">
      <c r="A91" t="s">
        <v>46</v>
      </c>
      <c r="B91" t="s">
        <v>123</v>
      </c>
      <c r="C91" s="17"/>
      <c r="D91" s="5" t="s">
        <v>239</v>
      </c>
      <c r="E91" t="s">
        <v>257</v>
      </c>
      <c r="F91" s="5">
        <v>31310</v>
      </c>
      <c r="H91">
        <v>35.299999999999997</v>
      </c>
      <c r="I91">
        <v>0.03</v>
      </c>
      <c r="J91">
        <v>18</v>
      </c>
      <c r="K91">
        <v>6</v>
      </c>
      <c r="L91">
        <v>1073</v>
      </c>
      <c r="M91">
        <v>1</v>
      </c>
      <c r="N91" t="s">
        <v>258</v>
      </c>
      <c r="O91" cm="1">
        <f t="array" ref="O91">INDEX(DataValidation!$B$2:$B$11, _xlfn.XMATCH(N91, DataValidation!$A$2:$A$11))</f>
        <v>2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0</v>
      </c>
      <c r="Y91">
        <v>2</v>
      </c>
      <c r="AA91" t="s">
        <v>9</v>
      </c>
      <c r="AB91">
        <v>3</v>
      </c>
    </row>
    <row r="92" spans="1:28" x14ac:dyDescent="0.25">
      <c r="A92" t="s">
        <v>46</v>
      </c>
      <c r="B92" t="s">
        <v>124</v>
      </c>
      <c r="C92" s="17" t="s">
        <v>49</v>
      </c>
      <c r="D92" s="5" t="s">
        <v>239</v>
      </c>
      <c r="E92" t="s">
        <v>257</v>
      </c>
      <c r="F92" s="5">
        <v>18430</v>
      </c>
      <c r="H92">
        <v>12</v>
      </c>
      <c r="I92">
        <v>0.02</v>
      </c>
      <c r="J92">
        <v>3</v>
      </c>
      <c r="K92">
        <v>6</v>
      </c>
      <c r="L92">
        <v>626</v>
      </c>
      <c r="M92">
        <v>1</v>
      </c>
      <c r="N92" t="s">
        <v>258</v>
      </c>
      <c r="O92" cm="1">
        <f t="array" ref="O92">INDEX(DataValidation!$B$2:$B$11, _xlfn.XMATCH(N92, DataValidation!$A$2:$A$11))</f>
        <v>2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0</v>
      </c>
      <c r="Y92">
        <v>2</v>
      </c>
      <c r="AA92" t="s">
        <v>9</v>
      </c>
      <c r="AB92">
        <v>3</v>
      </c>
    </row>
    <row r="93" spans="1:28" x14ac:dyDescent="0.25">
      <c r="A93" t="s">
        <v>46</v>
      </c>
      <c r="B93" t="s">
        <v>125</v>
      </c>
      <c r="C93" s="17"/>
      <c r="D93" s="5" t="s">
        <v>239</v>
      </c>
      <c r="E93" t="s">
        <v>257</v>
      </c>
      <c r="F93" s="5">
        <v>20940</v>
      </c>
      <c r="H93">
        <v>23</v>
      </c>
      <c r="I93">
        <v>0.02</v>
      </c>
      <c r="J93">
        <v>5</v>
      </c>
      <c r="K93">
        <v>6</v>
      </c>
      <c r="L93">
        <v>954</v>
      </c>
      <c r="M93">
        <v>1</v>
      </c>
      <c r="N93" t="s">
        <v>258</v>
      </c>
      <c r="O93" cm="1">
        <f t="array" ref="O93">INDEX(DataValidation!$B$2:$B$11, _xlfn.XMATCH(N93, DataValidation!$A$2:$A$11))</f>
        <v>2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1</v>
      </c>
      <c r="X93">
        <v>0</v>
      </c>
      <c r="Y93">
        <v>2</v>
      </c>
      <c r="AA93" t="s">
        <v>9</v>
      </c>
      <c r="AB93">
        <v>3</v>
      </c>
    </row>
    <row r="94" spans="1:28" x14ac:dyDescent="0.25">
      <c r="A94" t="s">
        <v>46</v>
      </c>
      <c r="B94" t="s">
        <v>126</v>
      </c>
      <c r="C94" s="17"/>
      <c r="D94" s="5" t="s">
        <v>239</v>
      </c>
      <c r="E94" t="s">
        <v>257</v>
      </c>
      <c r="F94" s="5">
        <v>20940</v>
      </c>
      <c r="H94">
        <v>22.3</v>
      </c>
      <c r="I94">
        <v>0.02</v>
      </c>
      <c r="J94">
        <v>7</v>
      </c>
      <c r="K94">
        <v>6</v>
      </c>
      <c r="L94">
        <v>819</v>
      </c>
      <c r="M94">
        <v>1</v>
      </c>
      <c r="N94" t="s">
        <v>258</v>
      </c>
      <c r="O94" cm="1">
        <f t="array" ref="O94">INDEX(DataValidation!$B$2:$B$11, _xlfn.XMATCH(N94, DataValidation!$A$2:$A$11))</f>
        <v>2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0</v>
      </c>
      <c r="Y94">
        <v>2</v>
      </c>
      <c r="AA94" t="s">
        <v>9</v>
      </c>
      <c r="AB94">
        <v>3</v>
      </c>
    </row>
    <row r="95" spans="1:28" x14ac:dyDescent="0.25">
      <c r="A95" t="s">
        <v>46</v>
      </c>
      <c r="B95" t="s">
        <v>128</v>
      </c>
      <c r="C95" s="17"/>
      <c r="D95" s="5" t="s">
        <v>239</v>
      </c>
      <c r="E95" t="s">
        <v>239</v>
      </c>
      <c r="F95" s="5">
        <v>25440</v>
      </c>
      <c r="H95">
        <v>41.3</v>
      </c>
      <c r="I95">
        <v>0.03</v>
      </c>
      <c r="J95">
        <v>12</v>
      </c>
      <c r="K95">
        <v>6</v>
      </c>
      <c r="L95">
        <v>1327</v>
      </c>
      <c r="M95">
        <v>1</v>
      </c>
      <c r="N95" t="s">
        <v>258</v>
      </c>
      <c r="O95" cm="1">
        <f t="array" ref="O95">INDEX(DataValidation!$B$2:$B$11, _xlfn.XMATCH(N95, DataValidation!$A$2:$A$11))</f>
        <v>2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</v>
      </c>
      <c r="W95">
        <v>1</v>
      </c>
      <c r="X95">
        <v>0</v>
      </c>
      <c r="Y95">
        <v>2</v>
      </c>
      <c r="AA95" t="s">
        <v>9</v>
      </c>
      <c r="AB95">
        <v>3</v>
      </c>
    </row>
    <row r="96" spans="1:28" x14ac:dyDescent="0.25">
      <c r="A96" t="s">
        <v>46</v>
      </c>
      <c r="B96" t="s">
        <v>127</v>
      </c>
      <c r="C96" s="17"/>
      <c r="D96" s="5" t="s">
        <v>239</v>
      </c>
      <c r="E96" t="s">
        <v>257</v>
      </c>
      <c r="F96" s="5">
        <v>26450</v>
      </c>
      <c r="H96">
        <v>35.299999999999997</v>
      </c>
      <c r="I96">
        <v>0.03</v>
      </c>
      <c r="J96">
        <v>18</v>
      </c>
      <c r="K96">
        <v>6</v>
      </c>
      <c r="L96">
        <v>1073</v>
      </c>
      <c r="M96">
        <v>1</v>
      </c>
      <c r="N96" t="s">
        <v>258</v>
      </c>
      <c r="O96" cm="1">
        <f t="array" ref="O96">INDEX(DataValidation!$B$2:$B$11, _xlfn.XMATCH(N96, DataValidation!$A$2:$A$11))</f>
        <v>2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1</v>
      </c>
      <c r="X96">
        <v>0</v>
      </c>
      <c r="Y96">
        <v>2</v>
      </c>
      <c r="AA96" t="s">
        <v>9</v>
      </c>
      <c r="AB96">
        <v>3</v>
      </c>
    </row>
    <row r="97" spans="1:29" x14ac:dyDescent="0.25">
      <c r="A97" t="s">
        <v>46</v>
      </c>
      <c r="B97" t="s">
        <v>129</v>
      </c>
      <c r="C97" s="17" t="s">
        <v>50</v>
      </c>
      <c r="D97" s="5" t="s">
        <v>239</v>
      </c>
      <c r="E97" t="s">
        <v>257</v>
      </c>
      <c r="F97" s="5">
        <v>20450</v>
      </c>
      <c r="H97">
        <v>23</v>
      </c>
      <c r="I97">
        <v>0.02</v>
      </c>
      <c r="J97">
        <v>5</v>
      </c>
      <c r="K97">
        <v>6</v>
      </c>
      <c r="L97">
        <v>954</v>
      </c>
      <c r="M97">
        <v>1</v>
      </c>
      <c r="N97" t="s">
        <v>258</v>
      </c>
      <c r="O97" cm="1">
        <f t="array" ref="O97">INDEX(DataValidation!$B$2:$B$11, _xlfn.XMATCH(N97, DataValidation!$A$2:$A$11))</f>
        <v>2</v>
      </c>
      <c r="P97">
        <v>0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1</v>
      </c>
      <c r="X97">
        <v>0</v>
      </c>
      <c r="Y97">
        <v>2</v>
      </c>
      <c r="AA97" t="s">
        <v>9</v>
      </c>
      <c r="AB97">
        <v>3</v>
      </c>
    </row>
    <row r="98" spans="1:29" x14ac:dyDescent="0.25">
      <c r="A98" t="s">
        <v>46</v>
      </c>
      <c r="B98" t="s">
        <v>130</v>
      </c>
      <c r="C98" s="17"/>
      <c r="D98" s="5" t="s">
        <v>239</v>
      </c>
      <c r="E98" t="s">
        <v>239</v>
      </c>
      <c r="F98" s="5">
        <v>23560</v>
      </c>
      <c r="H98">
        <v>41</v>
      </c>
      <c r="I98">
        <v>0.02</v>
      </c>
      <c r="J98">
        <v>12</v>
      </c>
      <c r="K98">
        <v>6</v>
      </c>
      <c r="L98">
        <v>1327</v>
      </c>
      <c r="M98">
        <v>1</v>
      </c>
      <c r="N98" t="s">
        <v>258</v>
      </c>
      <c r="O98" cm="1">
        <f t="array" ref="O98">INDEX(DataValidation!$B$2:$B$11, _xlfn.XMATCH(N98, DataValidation!$A$2:$A$11))</f>
        <v>2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1</v>
      </c>
      <c r="X98">
        <v>0</v>
      </c>
      <c r="Y98">
        <v>2</v>
      </c>
      <c r="AA98" t="s">
        <v>9</v>
      </c>
      <c r="AB98">
        <v>3</v>
      </c>
    </row>
    <row r="99" spans="1:29" x14ac:dyDescent="0.25">
      <c r="A99" t="s">
        <v>46</v>
      </c>
      <c r="B99" t="s">
        <v>131</v>
      </c>
      <c r="C99" s="17"/>
      <c r="D99" s="5" t="s">
        <v>239</v>
      </c>
      <c r="E99" t="s">
        <v>257</v>
      </c>
      <c r="F99" s="5">
        <v>26710</v>
      </c>
      <c r="H99">
        <v>73.900000000000006</v>
      </c>
      <c r="I99">
        <v>0.03</v>
      </c>
      <c r="J99">
        <v>16</v>
      </c>
      <c r="K99">
        <v>6</v>
      </c>
      <c r="L99">
        <v>1713</v>
      </c>
      <c r="M99">
        <v>1</v>
      </c>
      <c r="N99" t="s">
        <v>258</v>
      </c>
      <c r="O99" cm="1">
        <f t="array" ref="O99">INDEX(DataValidation!$B$2:$B$11, _xlfn.XMATCH(N99, DataValidation!$A$2:$A$11))</f>
        <v>2</v>
      </c>
      <c r="P99">
        <v>0</v>
      </c>
      <c r="Q99">
        <v>1</v>
      </c>
      <c r="R99">
        <v>1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2</v>
      </c>
      <c r="AA99" t="s">
        <v>9</v>
      </c>
      <c r="AB99">
        <v>3</v>
      </c>
    </row>
    <row r="100" spans="1:29" x14ac:dyDescent="0.25">
      <c r="A100" t="s">
        <v>46</v>
      </c>
      <c r="B100" t="s">
        <v>51</v>
      </c>
      <c r="C100" s="17" t="s">
        <v>52</v>
      </c>
      <c r="D100" s="5" t="s">
        <v>239</v>
      </c>
      <c r="E100" t="s">
        <v>239</v>
      </c>
      <c r="F100" s="5">
        <v>6500</v>
      </c>
      <c r="H100">
        <v>9.4</v>
      </c>
      <c r="I100">
        <v>0.1</v>
      </c>
      <c r="J100">
        <v>1</v>
      </c>
      <c r="K100">
        <v>6</v>
      </c>
      <c r="L100">
        <v>580</v>
      </c>
      <c r="M100">
        <v>1</v>
      </c>
      <c r="N100" t="s">
        <v>258</v>
      </c>
      <c r="O100" cm="1">
        <f t="array" ref="O100">INDEX(DataValidation!$B$2:$B$11, _xlfn.XMATCH(N100, DataValidation!$A$2:$A$11))</f>
        <v>2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2</v>
      </c>
      <c r="AA100" t="s">
        <v>9</v>
      </c>
      <c r="AB100">
        <v>3</v>
      </c>
    </row>
    <row r="101" spans="1:29" x14ac:dyDescent="0.25">
      <c r="A101" t="s">
        <v>346</v>
      </c>
      <c r="B101" t="s">
        <v>347</v>
      </c>
      <c r="C101" s="17"/>
      <c r="D101" s="5" t="s">
        <v>257</v>
      </c>
      <c r="E101" t="s">
        <v>239</v>
      </c>
      <c r="F101" s="5">
        <v>37500</v>
      </c>
      <c r="H101">
        <v>35</v>
      </c>
      <c r="I101">
        <v>0.1</v>
      </c>
      <c r="J101">
        <v>10</v>
      </c>
      <c r="K101">
        <v>7</v>
      </c>
      <c r="L101">
        <v>1400</v>
      </c>
      <c r="M101">
        <v>1</v>
      </c>
      <c r="N101" t="s">
        <v>294</v>
      </c>
      <c r="O101" cm="1">
        <f t="array" ref="O101">INDEX(DataValidation!$B$2:$B$11, _xlfn.XMATCH(N101, DataValidation!$A$2:$A$11))</f>
        <v>1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2</v>
      </c>
      <c r="AA101" t="s">
        <v>87</v>
      </c>
      <c r="AB101">
        <v>3</v>
      </c>
    </row>
    <row r="102" spans="1:29" x14ac:dyDescent="0.25">
      <c r="A102" t="s">
        <v>346</v>
      </c>
      <c r="B102" t="s">
        <v>348</v>
      </c>
      <c r="D102" s="5" t="s">
        <v>257</v>
      </c>
      <c r="E102" t="s">
        <v>239</v>
      </c>
      <c r="F102" s="5">
        <v>29100</v>
      </c>
      <c r="H102">
        <v>23.5</v>
      </c>
      <c r="I102">
        <v>0.1</v>
      </c>
      <c r="J102">
        <v>10</v>
      </c>
      <c r="K102">
        <v>7</v>
      </c>
      <c r="L102">
        <v>850</v>
      </c>
      <c r="M102">
        <v>1</v>
      </c>
      <c r="N102" t="s">
        <v>294</v>
      </c>
      <c r="O102" cm="1">
        <f t="array" ref="O102">INDEX(DataValidation!$B$2:$B$11, _xlfn.XMATCH(N102, DataValidation!$A$2:$A$11))</f>
        <v>1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2</v>
      </c>
      <c r="AA102" t="s">
        <v>87</v>
      </c>
      <c r="AB102">
        <v>3</v>
      </c>
    </row>
    <row r="103" spans="1:29" x14ac:dyDescent="0.25">
      <c r="A103" t="s">
        <v>346</v>
      </c>
      <c r="B103" t="s">
        <v>349</v>
      </c>
      <c r="D103" s="5" t="s">
        <v>257</v>
      </c>
      <c r="E103" t="s">
        <v>239</v>
      </c>
      <c r="F103" s="5">
        <v>31500</v>
      </c>
      <c r="H103">
        <v>25</v>
      </c>
      <c r="I103">
        <v>0.1</v>
      </c>
      <c r="J103">
        <v>5</v>
      </c>
      <c r="K103">
        <v>7</v>
      </c>
      <c r="L103">
        <v>1200</v>
      </c>
      <c r="M103">
        <v>1</v>
      </c>
      <c r="N103" t="s">
        <v>294</v>
      </c>
      <c r="O103" cm="1">
        <f t="array" ref="O103">INDEX(DataValidation!$B$2:$B$11, _xlfn.XMATCH(N103, DataValidation!$A$2:$A$11))</f>
        <v>1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2</v>
      </c>
      <c r="AA103" t="s">
        <v>87</v>
      </c>
      <c r="AB103">
        <v>3</v>
      </c>
    </row>
    <row r="104" spans="1:29" x14ac:dyDescent="0.25">
      <c r="A104" t="s">
        <v>346</v>
      </c>
      <c r="B104" t="s">
        <v>350</v>
      </c>
      <c r="D104" s="5" t="s">
        <v>257</v>
      </c>
      <c r="E104" t="s">
        <v>239</v>
      </c>
      <c r="F104" s="5">
        <v>41500</v>
      </c>
      <c r="H104">
        <v>45</v>
      </c>
      <c r="I104">
        <v>0.1</v>
      </c>
      <c r="J104">
        <v>5</v>
      </c>
      <c r="K104">
        <v>7</v>
      </c>
      <c r="L104">
        <v>1800</v>
      </c>
      <c r="M104">
        <v>1</v>
      </c>
      <c r="N104" t="s">
        <v>294</v>
      </c>
      <c r="O104" cm="1">
        <f t="array" ref="O104">INDEX(DataValidation!$B$2:$B$11, _xlfn.XMATCH(N104, DataValidation!$A$2:$A$11))</f>
        <v>1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2</v>
      </c>
      <c r="AA104" t="s">
        <v>87</v>
      </c>
      <c r="AB104">
        <v>3</v>
      </c>
    </row>
    <row r="105" spans="1:29" x14ac:dyDescent="0.25">
      <c r="A105" t="s">
        <v>346</v>
      </c>
      <c r="B105" t="s">
        <v>351</v>
      </c>
      <c r="D105" s="5" t="s">
        <v>257</v>
      </c>
      <c r="E105" t="s">
        <v>239</v>
      </c>
      <c r="F105" s="5">
        <v>37500</v>
      </c>
      <c r="H105">
        <v>34</v>
      </c>
      <c r="I105">
        <v>0.1</v>
      </c>
      <c r="J105">
        <v>18</v>
      </c>
      <c r="K105">
        <v>7</v>
      </c>
      <c r="L105">
        <v>1000</v>
      </c>
      <c r="M105">
        <v>1</v>
      </c>
      <c r="N105" t="s">
        <v>294</v>
      </c>
      <c r="O105" cm="1">
        <f t="array" ref="O105">INDEX(DataValidation!$B$2:$B$11, _xlfn.XMATCH(N105, DataValidation!$A$2:$A$11))</f>
        <v>1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2</v>
      </c>
      <c r="AA105" t="s">
        <v>87</v>
      </c>
      <c r="AB105">
        <v>3</v>
      </c>
    </row>
    <row r="106" spans="1:29" x14ac:dyDescent="0.25">
      <c r="A106" t="s">
        <v>352</v>
      </c>
      <c r="B106" t="s">
        <v>132</v>
      </c>
      <c r="C106" s="17" t="s">
        <v>53</v>
      </c>
      <c r="D106" s="5" t="s">
        <v>239</v>
      </c>
      <c r="E106" t="s">
        <v>239</v>
      </c>
      <c r="H106">
        <v>210</v>
      </c>
      <c r="I106">
        <v>0.05</v>
      </c>
      <c r="J106">
        <v>2</v>
      </c>
      <c r="K106">
        <v>4</v>
      </c>
      <c r="L106">
        <v>760</v>
      </c>
      <c r="M106">
        <v>2</v>
      </c>
      <c r="N106" t="s">
        <v>294</v>
      </c>
      <c r="O106" cm="1">
        <f t="array" ref="O106">INDEX(DataValidation!$B$2:$B$11, _xlfn.XMATCH(N106, DataValidation!$A$2:$A$11))</f>
        <v>1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2</v>
      </c>
      <c r="AA106" t="s">
        <v>54</v>
      </c>
      <c r="AB106">
        <v>3</v>
      </c>
    </row>
    <row r="107" spans="1:29" x14ac:dyDescent="0.25">
      <c r="A107" t="s">
        <v>352</v>
      </c>
      <c r="B107" t="s">
        <v>133</v>
      </c>
      <c r="C107" s="17"/>
      <c r="D107" s="5" t="s">
        <v>239</v>
      </c>
      <c r="E107" t="s">
        <v>239</v>
      </c>
      <c r="H107">
        <v>220</v>
      </c>
      <c r="I107">
        <v>0.05</v>
      </c>
      <c r="J107">
        <v>3</v>
      </c>
      <c r="K107">
        <v>4</v>
      </c>
      <c r="L107">
        <v>785</v>
      </c>
      <c r="M107">
        <v>2</v>
      </c>
      <c r="N107" t="s">
        <v>294</v>
      </c>
      <c r="O107" cm="1">
        <f t="array" ref="O107">INDEX(DataValidation!$B$2:$B$11, _xlfn.XMATCH(N107, DataValidation!$A$2:$A$11))</f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2</v>
      </c>
      <c r="AA107" t="s">
        <v>54</v>
      </c>
      <c r="AB107">
        <v>3</v>
      </c>
    </row>
    <row r="108" spans="1:29" x14ac:dyDescent="0.25">
      <c r="A108" t="s">
        <v>352</v>
      </c>
      <c r="B108" t="s">
        <v>134</v>
      </c>
      <c r="C108" s="17" t="s">
        <v>138</v>
      </c>
      <c r="D108" s="5" t="s">
        <v>239</v>
      </c>
      <c r="E108" t="s">
        <v>257</v>
      </c>
      <c r="H108">
        <v>17</v>
      </c>
      <c r="I108">
        <v>0.02</v>
      </c>
      <c r="J108">
        <v>3</v>
      </c>
      <c r="K108">
        <v>6</v>
      </c>
      <c r="L108">
        <v>590</v>
      </c>
      <c r="M108">
        <v>1</v>
      </c>
      <c r="N108" t="s">
        <v>294</v>
      </c>
      <c r="O108" cm="1">
        <f t="array" ref="O108">INDEX(DataValidation!$B$2:$B$11, _xlfn.XMATCH(N108, DataValidation!$A$2:$A$11))</f>
        <v>1</v>
      </c>
      <c r="P108">
        <v>0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2</v>
      </c>
      <c r="Z108" s="16">
        <v>156</v>
      </c>
      <c r="AA108" t="s">
        <v>54</v>
      </c>
      <c r="AB108">
        <v>3</v>
      </c>
    </row>
    <row r="109" spans="1:29" x14ac:dyDescent="0.25">
      <c r="A109" t="s">
        <v>352</v>
      </c>
      <c r="B109" t="s">
        <v>135</v>
      </c>
      <c r="C109" s="17"/>
      <c r="D109" s="5" t="s">
        <v>239</v>
      </c>
      <c r="E109" t="s">
        <v>257</v>
      </c>
      <c r="H109">
        <v>26</v>
      </c>
      <c r="I109">
        <v>0.02</v>
      </c>
      <c r="J109">
        <v>5</v>
      </c>
      <c r="K109">
        <v>6</v>
      </c>
      <c r="L109">
        <v>800</v>
      </c>
      <c r="M109">
        <v>1</v>
      </c>
      <c r="N109" t="s">
        <v>294</v>
      </c>
      <c r="O109" cm="1">
        <f t="array" ref="O109">INDEX(DataValidation!$B$2:$B$11, _xlfn.XMATCH(N109, DataValidation!$A$2:$A$11))</f>
        <v>1</v>
      </c>
      <c r="P109">
        <v>0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2</v>
      </c>
      <c r="Z109" s="16">
        <v>156</v>
      </c>
      <c r="AA109" t="s">
        <v>54</v>
      </c>
      <c r="AB109">
        <v>3</v>
      </c>
    </row>
    <row r="110" spans="1:29" x14ac:dyDescent="0.25">
      <c r="A110" t="s">
        <v>352</v>
      </c>
      <c r="B110" t="s">
        <v>136</v>
      </c>
      <c r="C110" s="17"/>
      <c r="D110" s="5" t="s">
        <v>239</v>
      </c>
      <c r="E110" t="s">
        <v>257</v>
      </c>
      <c r="H110">
        <v>48</v>
      </c>
      <c r="I110">
        <v>0.02</v>
      </c>
      <c r="J110">
        <v>8</v>
      </c>
      <c r="K110">
        <v>6</v>
      </c>
      <c r="L110">
        <v>1300</v>
      </c>
      <c r="M110">
        <v>1</v>
      </c>
      <c r="N110" t="s">
        <v>294</v>
      </c>
      <c r="O110" cm="1">
        <f t="array" ref="O110">INDEX(DataValidation!$B$2:$B$11, _xlfn.XMATCH(N110, DataValidation!$A$2:$A$11))</f>
        <v>1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2</v>
      </c>
      <c r="Z110" s="16">
        <v>200</v>
      </c>
      <c r="AA110" t="s">
        <v>54</v>
      </c>
      <c r="AB110">
        <v>3</v>
      </c>
    </row>
    <row r="111" spans="1:29" x14ac:dyDescent="0.25">
      <c r="A111" t="s">
        <v>352</v>
      </c>
      <c r="B111" t="s">
        <v>137</v>
      </c>
      <c r="C111" s="17"/>
      <c r="D111" s="5" t="s">
        <v>239</v>
      </c>
      <c r="E111" t="s">
        <v>257</v>
      </c>
      <c r="H111">
        <v>42</v>
      </c>
      <c r="I111">
        <v>0.02</v>
      </c>
      <c r="J111">
        <v>10</v>
      </c>
      <c r="K111">
        <v>6</v>
      </c>
      <c r="L111">
        <v>1000</v>
      </c>
      <c r="M111">
        <v>1</v>
      </c>
      <c r="N111" t="s">
        <v>294</v>
      </c>
      <c r="O111" cm="1">
        <f t="array" ref="O111">INDEX(DataValidation!$B$2:$B$11, _xlfn.XMATCH(N111, DataValidation!$A$2:$A$11))</f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2</v>
      </c>
      <c r="Z111" s="16">
        <v>200</v>
      </c>
      <c r="AA111" t="s">
        <v>54</v>
      </c>
      <c r="AB111">
        <v>3</v>
      </c>
    </row>
    <row r="112" spans="1:29" x14ac:dyDescent="0.25">
      <c r="A112" t="s">
        <v>352</v>
      </c>
      <c r="B112" t="s">
        <v>55</v>
      </c>
      <c r="C112" s="17" t="s">
        <v>56</v>
      </c>
      <c r="D112" s="5" t="s">
        <v>239</v>
      </c>
      <c r="E112" t="s">
        <v>257</v>
      </c>
      <c r="M112">
        <v>1</v>
      </c>
      <c r="O112" cm="1">
        <f t="array" ref="O112">INDEX(DataValidation!$B$2:$B$11, _xlfn.XMATCH(N112, DataValidation!$A$2:$A$11))</f>
        <v>0</v>
      </c>
      <c r="AA112" t="s">
        <v>54</v>
      </c>
      <c r="AB112">
        <v>1</v>
      </c>
      <c r="AC112" t="s">
        <v>239</v>
      </c>
    </row>
    <row r="113" spans="1:29" x14ac:dyDescent="0.25">
      <c r="A113" t="s">
        <v>353</v>
      </c>
      <c r="B113" t="s">
        <v>354</v>
      </c>
      <c r="C113" s="17"/>
      <c r="D113" s="5" t="s">
        <v>257</v>
      </c>
      <c r="E113" t="s">
        <v>239</v>
      </c>
      <c r="H113">
        <v>5.4</v>
      </c>
      <c r="J113">
        <v>0.5</v>
      </c>
      <c r="K113">
        <v>6</v>
      </c>
      <c r="L113">
        <v>760</v>
      </c>
      <c r="M113">
        <v>1</v>
      </c>
      <c r="N113" t="s">
        <v>304</v>
      </c>
      <c r="O113" cm="1">
        <f t="array" ref="O113">INDEX(DataValidation!$B$2:$B$11, _xlfn.XMATCH(N113, DataValidation!$A$2:$A$11))</f>
        <v>3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2</v>
      </c>
      <c r="AA113" t="s">
        <v>355</v>
      </c>
      <c r="AB113">
        <v>3</v>
      </c>
    </row>
    <row r="114" spans="1:29" x14ac:dyDescent="0.25">
      <c r="A114" t="s">
        <v>4</v>
      </c>
      <c r="B114" t="s">
        <v>139</v>
      </c>
      <c r="C114" s="17" t="s">
        <v>79</v>
      </c>
      <c r="D114" s="5" t="s">
        <v>239</v>
      </c>
      <c r="E114" t="s">
        <v>239</v>
      </c>
      <c r="F114" s="5">
        <v>23445</v>
      </c>
      <c r="H114">
        <v>22.8</v>
      </c>
      <c r="I114">
        <v>0.1</v>
      </c>
      <c r="J114">
        <v>3</v>
      </c>
      <c r="K114">
        <v>6</v>
      </c>
      <c r="L114">
        <v>760</v>
      </c>
      <c r="M114">
        <v>1</v>
      </c>
      <c r="N114" t="s">
        <v>294</v>
      </c>
      <c r="O114" cm="1">
        <f t="array" ref="O114">INDEX(DataValidation!$B$2:$B$11, _xlfn.XMATCH(N114, DataValidation!$A$2:$A$11))</f>
        <v>1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2</v>
      </c>
      <c r="Z114" s="16">
        <v>210</v>
      </c>
      <c r="AA114" t="s">
        <v>9</v>
      </c>
      <c r="AB114">
        <v>3</v>
      </c>
    </row>
    <row r="115" spans="1:29" x14ac:dyDescent="0.25">
      <c r="A115" t="s">
        <v>4</v>
      </c>
      <c r="B115" t="s">
        <v>141</v>
      </c>
      <c r="C115" s="17"/>
      <c r="D115" s="5" t="s">
        <v>239</v>
      </c>
      <c r="E115" t="s">
        <v>257</v>
      </c>
      <c r="F115" s="5">
        <v>28085</v>
      </c>
      <c r="H115">
        <v>46.3</v>
      </c>
      <c r="I115">
        <v>0.05</v>
      </c>
      <c r="J115">
        <v>6</v>
      </c>
      <c r="K115">
        <v>6</v>
      </c>
      <c r="L115">
        <v>1300</v>
      </c>
      <c r="M115">
        <v>1</v>
      </c>
      <c r="N115" t="s">
        <v>294</v>
      </c>
      <c r="O115" cm="1">
        <f t="array" ref="O115">INDEX(DataValidation!$B$2:$B$11, _xlfn.XMATCH(N115, DataValidation!$A$2:$A$11))</f>
        <v>1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2</v>
      </c>
      <c r="AA115" t="s">
        <v>9</v>
      </c>
      <c r="AB115">
        <v>3</v>
      </c>
    </row>
    <row r="116" spans="1:29" x14ac:dyDescent="0.25">
      <c r="A116" t="s">
        <v>4</v>
      </c>
      <c r="B116" t="s">
        <v>142</v>
      </c>
      <c r="C116" s="17"/>
      <c r="D116" s="5" t="s">
        <v>239</v>
      </c>
      <c r="E116" t="s">
        <v>257</v>
      </c>
      <c r="F116" s="5">
        <v>28795</v>
      </c>
      <c r="H116">
        <v>43.2</v>
      </c>
      <c r="I116">
        <v>0.05</v>
      </c>
      <c r="J116">
        <v>8</v>
      </c>
      <c r="K116">
        <v>6</v>
      </c>
      <c r="L116">
        <v>930</v>
      </c>
      <c r="M116">
        <v>1</v>
      </c>
      <c r="N116" t="s">
        <v>294</v>
      </c>
      <c r="O116" cm="1">
        <f t="array" ref="O116">INDEX(DataValidation!$B$2:$B$11, _xlfn.XMATCH(N116, DataValidation!$A$2:$A$11))</f>
        <v>1</v>
      </c>
      <c r="P116">
        <v>0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2</v>
      </c>
      <c r="Z116" s="16" t="s">
        <v>145</v>
      </c>
      <c r="AA116" t="s">
        <v>9</v>
      </c>
      <c r="AB116">
        <v>3</v>
      </c>
    </row>
    <row r="117" spans="1:29" x14ac:dyDescent="0.25">
      <c r="A117" t="s">
        <v>4</v>
      </c>
      <c r="B117" t="s">
        <v>143</v>
      </c>
      <c r="C117" s="17"/>
      <c r="D117" s="5" t="s">
        <v>239</v>
      </c>
      <c r="E117" t="s">
        <v>239</v>
      </c>
      <c r="F117" s="5">
        <v>29705</v>
      </c>
      <c r="H117">
        <v>46.3</v>
      </c>
      <c r="I117">
        <v>0.05</v>
      </c>
      <c r="J117">
        <v>11</v>
      </c>
      <c r="K117">
        <v>6</v>
      </c>
      <c r="L117">
        <v>1300</v>
      </c>
      <c r="M117">
        <v>1</v>
      </c>
      <c r="N117" t="s">
        <v>294</v>
      </c>
      <c r="O117" cm="1">
        <f t="array" ref="O117">INDEX(DataValidation!$B$2:$B$11, _xlfn.XMATCH(N117, DataValidation!$A$2:$A$11))</f>
        <v>1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2</v>
      </c>
      <c r="Z117" s="16" t="s">
        <v>145</v>
      </c>
      <c r="AA117" t="s">
        <v>9</v>
      </c>
      <c r="AB117">
        <v>3</v>
      </c>
    </row>
    <row r="118" spans="1:29" x14ac:dyDescent="0.25">
      <c r="A118" t="s">
        <v>4</v>
      </c>
      <c r="B118" t="s">
        <v>144</v>
      </c>
      <c r="D118" s="5" t="s">
        <v>239</v>
      </c>
      <c r="E118" t="s">
        <v>239</v>
      </c>
      <c r="F118" s="5">
        <v>30915</v>
      </c>
      <c r="H118">
        <v>43.2</v>
      </c>
      <c r="I118">
        <v>0.05</v>
      </c>
      <c r="J118">
        <v>15</v>
      </c>
      <c r="K118">
        <v>6</v>
      </c>
      <c r="L118">
        <v>930</v>
      </c>
      <c r="M118">
        <v>1</v>
      </c>
      <c r="N118" t="s">
        <v>294</v>
      </c>
      <c r="O118" cm="1">
        <f t="array" ref="O118">INDEX(DataValidation!$B$2:$B$11, _xlfn.XMATCH(N118, DataValidation!$A$2:$A$11))</f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2</v>
      </c>
      <c r="Z118" s="16" t="s">
        <v>145</v>
      </c>
      <c r="AA118" t="s">
        <v>9</v>
      </c>
      <c r="AB118">
        <v>3</v>
      </c>
    </row>
    <row r="119" spans="1:29" x14ac:dyDescent="0.25">
      <c r="A119" t="s">
        <v>4</v>
      </c>
      <c r="B119" t="s">
        <v>80</v>
      </c>
      <c r="C119" t="s">
        <v>83</v>
      </c>
      <c r="D119" s="5" t="s">
        <v>239</v>
      </c>
      <c r="E119" t="s">
        <v>257</v>
      </c>
      <c r="M119">
        <v>1</v>
      </c>
      <c r="N119" t="s">
        <v>294</v>
      </c>
      <c r="O119" cm="1">
        <f t="array" ref="O119">INDEX(DataValidation!$B$2:$B$11, _xlfn.XMATCH(N119, DataValidation!$A$2:$A$11))</f>
        <v>1</v>
      </c>
      <c r="Z119" s="5"/>
      <c r="AA119" t="s">
        <v>9</v>
      </c>
      <c r="AC119" t="s">
        <v>239</v>
      </c>
    </row>
    <row r="120" spans="1:29" x14ac:dyDescent="0.25">
      <c r="A120" t="s">
        <v>4</v>
      </c>
      <c r="B120" t="s">
        <v>81</v>
      </c>
      <c r="C120" t="s">
        <v>84</v>
      </c>
      <c r="D120" s="5" t="s">
        <v>239</v>
      </c>
      <c r="E120" t="s">
        <v>257</v>
      </c>
      <c r="M120">
        <v>1</v>
      </c>
      <c r="N120" t="s">
        <v>294</v>
      </c>
      <c r="O120" cm="1">
        <f t="array" ref="O120">INDEX(DataValidation!$B$2:$B$11, _xlfn.XMATCH(N120, DataValidation!$A$2:$A$11))</f>
        <v>1</v>
      </c>
      <c r="Z120" s="5"/>
      <c r="AA120" t="s">
        <v>9</v>
      </c>
      <c r="AC120" t="s">
        <v>239</v>
      </c>
    </row>
    <row r="121" spans="1:29" x14ac:dyDescent="0.25">
      <c r="A121" t="s">
        <v>4</v>
      </c>
      <c r="B121" t="s">
        <v>82</v>
      </c>
      <c r="C121" t="s">
        <v>85</v>
      </c>
      <c r="D121" s="5" t="s">
        <v>239</v>
      </c>
      <c r="E121" t="s">
        <v>257</v>
      </c>
      <c r="M121">
        <v>1</v>
      </c>
      <c r="N121" t="s">
        <v>294</v>
      </c>
      <c r="O121" cm="1">
        <f t="array" ref="O121">INDEX(DataValidation!$B$2:$B$11, _xlfn.XMATCH(N121, DataValidation!$A$2:$A$11))</f>
        <v>1</v>
      </c>
      <c r="Z121" s="5"/>
      <c r="AA121" t="s">
        <v>9</v>
      </c>
      <c r="AC121" t="s">
        <v>239</v>
      </c>
    </row>
    <row r="122" spans="1:29" x14ac:dyDescent="0.25">
      <c r="A122" t="s">
        <v>4</v>
      </c>
      <c r="B122" t="s">
        <v>146</v>
      </c>
      <c r="C122" s="18" t="s">
        <v>86</v>
      </c>
      <c r="D122" s="5" t="s">
        <v>239</v>
      </c>
      <c r="E122" t="s">
        <v>239</v>
      </c>
      <c r="H122">
        <v>22.3</v>
      </c>
      <c r="I122">
        <v>0.1</v>
      </c>
      <c r="J122">
        <v>7</v>
      </c>
      <c r="K122">
        <v>7</v>
      </c>
      <c r="L122">
        <v>800</v>
      </c>
      <c r="M122">
        <v>1</v>
      </c>
      <c r="N122" t="s">
        <v>294</v>
      </c>
      <c r="O122" cm="1">
        <f t="array" ref="O122">INDEX(DataValidation!$B$2:$B$11, _xlfn.XMATCH(N122, DataValidation!$A$2:$A$11))</f>
        <v>1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2</v>
      </c>
      <c r="AA122" t="s">
        <v>9</v>
      </c>
      <c r="AB122">
        <v>3</v>
      </c>
    </row>
    <row r="123" spans="1:29" x14ac:dyDescent="0.25">
      <c r="A123" t="s">
        <v>4</v>
      </c>
      <c r="B123" t="s">
        <v>147</v>
      </c>
      <c r="C123" s="18"/>
      <c r="D123" s="5" t="s">
        <v>239</v>
      </c>
      <c r="E123" t="s">
        <v>239</v>
      </c>
      <c r="H123">
        <v>29.5</v>
      </c>
      <c r="I123">
        <v>0.15</v>
      </c>
      <c r="J123">
        <v>14</v>
      </c>
      <c r="K123">
        <v>7</v>
      </c>
      <c r="L123">
        <v>820</v>
      </c>
      <c r="M123">
        <v>1</v>
      </c>
      <c r="N123" t="s">
        <v>294</v>
      </c>
      <c r="O123" cm="1">
        <f t="array" ref="O123">INDEX(DataValidation!$B$2:$B$11, _xlfn.XMATCH(N123, DataValidation!$A$2:$A$11))</f>
        <v>1</v>
      </c>
      <c r="P123">
        <v>0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2</v>
      </c>
      <c r="AA123" t="s">
        <v>9</v>
      </c>
      <c r="AB123" s="1">
        <v>3</v>
      </c>
    </row>
    <row r="124" spans="1:29" x14ac:dyDescent="0.25">
      <c r="A124" t="s">
        <v>342</v>
      </c>
      <c r="B124" t="s">
        <v>343</v>
      </c>
      <c r="C124" s="17"/>
      <c r="D124" s="5" t="s">
        <v>257</v>
      </c>
      <c r="E124" t="s">
        <v>239</v>
      </c>
      <c r="F124" s="5">
        <v>9970</v>
      </c>
      <c r="H124">
        <v>9.5</v>
      </c>
      <c r="I124">
        <v>0.5</v>
      </c>
      <c r="J124">
        <v>3</v>
      </c>
      <c r="K124">
        <v>6</v>
      </c>
      <c r="L124">
        <v>833</v>
      </c>
      <c r="M124">
        <v>1</v>
      </c>
      <c r="N124" t="s">
        <v>304</v>
      </c>
      <c r="O124" cm="1">
        <f t="array" ref="O124">INDEX(DataValidation!$B$2:$B$11, _xlfn.XMATCH(N124, DataValidation!$A$2:$A$11))</f>
        <v>3</v>
      </c>
      <c r="P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1</v>
      </c>
      <c r="X124">
        <v>0</v>
      </c>
      <c r="Y124">
        <v>2</v>
      </c>
      <c r="AA124" t="s">
        <v>27</v>
      </c>
      <c r="AB124" s="1">
        <v>3</v>
      </c>
    </row>
    <row r="125" spans="1:29" x14ac:dyDescent="0.25">
      <c r="A125" t="s">
        <v>356</v>
      </c>
      <c r="B125" t="s">
        <v>357</v>
      </c>
      <c r="C125" s="17"/>
      <c r="D125" s="5" t="s">
        <v>257</v>
      </c>
      <c r="E125" t="s">
        <v>239</v>
      </c>
      <c r="O125" cm="1">
        <f t="array" ref="O125">INDEX(DataValidation!$B$2:$B$11, _xlfn.XMATCH(N125, DataValidation!$A$2:$A$11))</f>
        <v>0</v>
      </c>
      <c r="AC125" t="s">
        <v>239</v>
      </c>
    </row>
    <row r="126" spans="1:29" x14ac:dyDescent="0.25">
      <c r="A126" t="s">
        <v>358</v>
      </c>
      <c r="B126" t="s">
        <v>359</v>
      </c>
      <c r="C126" s="17"/>
      <c r="D126" s="5" t="s">
        <v>257</v>
      </c>
      <c r="E126" t="s">
        <v>239</v>
      </c>
      <c r="F126" s="5">
        <v>31000</v>
      </c>
      <c r="H126">
        <v>32</v>
      </c>
      <c r="I126">
        <v>0.03</v>
      </c>
      <c r="J126">
        <v>5</v>
      </c>
      <c r="K126">
        <v>6</v>
      </c>
      <c r="L126">
        <v>910</v>
      </c>
      <c r="M126">
        <v>1</v>
      </c>
      <c r="N126" t="s">
        <v>258</v>
      </c>
      <c r="O126" cm="1">
        <f t="array" ref="O126">INDEX(DataValidation!$B$2:$B$11, _xlfn.XMATCH(N126, DataValidation!$A$2:$A$11))</f>
        <v>2</v>
      </c>
      <c r="P126">
        <v>0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2</v>
      </c>
      <c r="AA126" t="s">
        <v>54</v>
      </c>
      <c r="AB126">
        <v>3</v>
      </c>
    </row>
    <row r="127" spans="1:29" x14ac:dyDescent="0.25">
      <c r="A127" t="s">
        <v>57</v>
      </c>
      <c r="B127" t="s">
        <v>58</v>
      </c>
      <c r="C127" s="17" t="s">
        <v>59</v>
      </c>
      <c r="D127" s="5" t="s">
        <v>239</v>
      </c>
      <c r="E127" t="s">
        <v>239</v>
      </c>
      <c r="H127">
        <v>61</v>
      </c>
      <c r="I127">
        <v>0.1</v>
      </c>
      <c r="J127">
        <v>10</v>
      </c>
      <c r="K127">
        <v>6</v>
      </c>
      <c r="L127">
        <v>1300</v>
      </c>
      <c r="M127">
        <v>1</v>
      </c>
      <c r="N127" t="s">
        <v>294</v>
      </c>
      <c r="O127" cm="1">
        <f t="array" ref="O127">INDEX(DataValidation!$B$2:$B$11, _xlfn.XMATCH(N127, DataValidation!$A$2:$A$11))</f>
        <v>1</v>
      </c>
      <c r="P127">
        <v>0</v>
      </c>
      <c r="Q127">
        <v>1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2</v>
      </c>
      <c r="Z127" s="16" t="s">
        <v>148</v>
      </c>
      <c r="AA127" t="s">
        <v>54</v>
      </c>
      <c r="AB127">
        <v>3</v>
      </c>
    </row>
    <row r="128" spans="1:29" x14ac:dyDescent="0.25">
      <c r="A128" t="s">
        <v>57</v>
      </c>
      <c r="B128" t="s">
        <v>61</v>
      </c>
      <c r="C128" s="17" t="s">
        <v>60</v>
      </c>
      <c r="D128" s="5" t="s">
        <v>239</v>
      </c>
      <c r="E128" t="s">
        <v>257</v>
      </c>
      <c r="F128" s="5">
        <v>36000</v>
      </c>
      <c r="H128">
        <v>53</v>
      </c>
      <c r="I128">
        <v>0.02</v>
      </c>
      <c r="J128">
        <v>5</v>
      </c>
      <c r="K128">
        <v>6</v>
      </c>
      <c r="L128">
        <v>927</v>
      </c>
      <c r="M128">
        <v>1</v>
      </c>
      <c r="N128" t="s">
        <v>294</v>
      </c>
      <c r="O128" cm="1">
        <f t="array" ref="O128">INDEX(DataValidation!$B$2:$B$11, _xlfn.XMATCH(N128, DataValidation!$A$2:$A$11))</f>
        <v>1</v>
      </c>
      <c r="P128">
        <v>0</v>
      </c>
      <c r="Q128">
        <v>1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2</v>
      </c>
      <c r="Z128" s="16" t="s">
        <v>149</v>
      </c>
      <c r="AA128" t="s">
        <v>54</v>
      </c>
      <c r="AB128">
        <v>3</v>
      </c>
    </row>
    <row r="129" spans="1:28" x14ac:dyDescent="0.25">
      <c r="A129" t="s">
        <v>57</v>
      </c>
      <c r="B129" t="s">
        <v>63</v>
      </c>
      <c r="C129" s="17" t="s">
        <v>62</v>
      </c>
      <c r="D129" s="5" t="s">
        <v>239</v>
      </c>
      <c r="E129" t="s">
        <v>257</v>
      </c>
      <c r="H129">
        <v>66</v>
      </c>
      <c r="I129">
        <v>2.5000000000000001E-2</v>
      </c>
      <c r="J129">
        <v>12</v>
      </c>
      <c r="K129">
        <v>6</v>
      </c>
      <c r="L129">
        <v>1000</v>
      </c>
      <c r="M129">
        <v>1</v>
      </c>
      <c r="N129" t="s">
        <v>294</v>
      </c>
      <c r="O129" cm="1">
        <f t="array" ref="O129">INDEX(DataValidation!$B$2:$B$11, _xlfn.XMATCH(N129, DataValidation!$A$2:$A$11))</f>
        <v>1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2</v>
      </c>
      <c r="AA129" t="s">
        <v>54</v>
      </c>
      <c r="AB129">
        <v>3</v>
      </c>
    </row>
    <row r="130" spans="1:28" x14ac:dyDescent="0.25">
      <c r="A130" t="s">
        <v>64</v>
      </c>
      <c r="B130" t="s">
        <v>150</v>
      </c>
      <c r="C130" s="17" t="s">
        <v>65</v>
      </c>
      <c r="D130" s="5" t="s">
        <v>239</v>
      </c>
      <c r="E130" t="s">
        <v>239</v>
      </c>
      <c r="F130" s="5">
        <v>37500</v>
      </c>
      <c r="H130">
        <v>51</v>
      </c>
      <c r="I130">
        <v>0.01</v>
      </c>
      <c r="J130">
        <v>15</v>
      </c>
      <c r="K130">
        <v>7</v>
      </c>
      <c r="L130">
        <v>1100</v>
      </c>
      <c r="M130">
        <v>1</v>
      </c>
      <c r="N130" t="s">
        <v>294</v>
      </c>
      <c r="O130" cm="1">
        <f t="array" ref="O130">INDEX(DataValidation!$B$2:$B$11, _xlfn.XMATCH(N130, DataValidation!$A$2:$A$11))</f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0.5</v>
      </c>
      <c r="Y130">
        <v>2</v>
      </c>
      <c r="Z130" s="16">
        <v>252</v>
      </c>
      <c r="AA130" t="s">
        <v>9</v>
      </c>
      <c r="AB130">
        <v>3</v>
      </c>
    </row>
    <row r="131" spans="1:28" x14ac:dyDescent="0.25">
      <c r="A131" t="s">
        <v>64</v>
      </c>
      <c r="B131" t="s">
        <v>151</v>
      </c>
      <c r="C131" s="17"/>
      <c r="D131" s="5" t="s">
        <v>239</v>
      </c>
      <c r="E131" t="s">
        <v>239</v>
      </c>
      <c r="F131" s="5">
        <v>39500</v>
      </c>
      <c r="H131">
        <v>53</v>
      </c>
      <c r="I131">
        <v>0.01</v>
      </c>
      <c r="J131">
        <v>12</v>
      </c>
      <c r="K131">
        <v>7</v>
      </c>
      <c r="L131">
        <v>1400</v>
      </c>
      <c r="M131">
        <v>1</v>
      </c>
      <c r="N131" t="s">
        <v>294</v>
      </c>
      <c r="O131" cm="1">
        <f t="array" ref="O131">INDEX(DataValidation!$B$2:$B$11, _xlfn.XMATCH(N131, DataValidation!$A$2:$A$11))</f>
        <v>1</v>
      </c>
      <c r="P131">
        <v>1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0.5</v>
      </c>
      <c r="Y131">
        <v>2</v>
      </c>
      <c r="Z131" s="16">
        <v>252</v>
      </c>
      <c r="AA131" t="s">
        <v>9</v>
      </c>
      <c r="AB131">
        <v>3</v>
      </c>
    </row>
    <row r="132" spans="1:28" x14ac:dyDescent="0.25">
      <c r="A132" t="s">
        <v>64</v>
      </c>
      <c r="B132" t="s">
        <v>152</v>
      </c>
      <c r="C132" s="17"/>
      <c r="D132" s="5" t="s">
        <v>239</v>
      </c>
      <c r="E132" t="s">
        <v>239</v>
      </c>
      <c r="F132" s="5">
        <v>41500</v>
      </c>
      <c r="H132">
        <v>56</v>
      </c>
      <c r="I132">
        <v>0.01</v>
      </c>
      <c r="J132">
        <v>9</v>
      </c>
      <c r="K132">
        <v>7</v>
      </c>
      <c r="L132">
        <v>1600</v>
      </c>
      <c r="M132">
        <v>1</v>
      </c>
      <c r="N132" t="s">
        <v>294</v>
      </c>
      <c r="O132" cm="1">
        <f t="array" ref="O132">INDEX(DataValidation!$B$2:$B$11, _xlfn.XMATCH(N132, DataValidation!$A$2:$A$11))</f>
        <v>1</v>
      </c>
      <c r="P132">
        <v>1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0.5</v>
      </c>
      <c r="Y132">
        <v>2</v>
      </c>
      <c r="Z132" s="16">
        <v>252</v>
      </c>
      <c r="AA132" t="s">
        <v>9</v>
      </c>
      <c r="AB132">
        <v>3</v>
      </c>
    </row>
    <row r="133" spans="1:28" x14ac:dyDescent="0.25">
      <c r="A133" t="s">
        <v>64</v>
      </c>
      <c r="B133" t="s">
        <v>153</v>
      </c>
      <c r="C133" s="17" t="s">
        <v>66</v>
      </c>
      <c r="D133" s="5" t="s">
        <v>239</v>
      </c>
      <c r="E133" t="s">
        <v>257</v>
      </c>
      <c r="F133" s="5">
        <v>16500</v>
      </c>
      <c r="H133">
        <v>18</v>
      </c>
      <c r="I133">
        <v>0.02</v>
      </c>
      <c r="J133">
        <v>3</v>
      </c>
      <c r="K133">
        <v>6</v>
      </c>
      <c r="L133">
        <v>590</v>
      </c>
      <c r="M133">
        <v>1</v>
      </c>
      <c r="N133" t="s">
        <v>304</v>
      </c>
      <c r="O133" cm="1">
        <f t="array" ref="O133">INDEX(DataValidation!$B$2:$B$11, _xlfn.XMATCH(N133, DataValidation!$A$2:$A$11))</f>
        <v>3</v>
      </c>
      <c r="P133">
        <v>1</v>
      </c>
      <c r="Q133">
        <v>1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2</v>
      </c>
      <c r="Z133" s="16">
        <v>144</v>
      </c>
      <c r="AA133" t="s">
        <v>9</v>
      </c>
      <c r="AB133">
        <v>3</v>
      </c>
    </row>
    <row r="134" spans="1:28" x14ac:dyDescent="0.25">
      <c r="A134" t="s">
        <v>64</v>
      </c>
      <c r="B134" t="s">
        <v>154</v>
      </c>
      <c r="C134" s="17"/>
      <c r="D134" s="5" t="s">
        <v>239</v>
      </c>
      <c r="E134" t="s">
        <v>239</v>
      </c>
      <c r="F134" s="5">
        <v>18900</v>
      </c>
      <c r="H134">
        <v>26</v>
      </c>
      <c r="I134">
        <v>0.02</v>
      </c>
      <c r="J134">
        <v>5</v>
      </c>
      <c r="K134">
        <v>6</v>
      </c>
      <c r="L134">
        <v>800</v>
      </c>
      <c r="M134">
        <v>1</v>
      </c>
      <c r="N134" t="s">
        <v>304</v>
      </c>
      <c r="O134" cm="1">
        <f t="array" ref="O134">INDEX(DataValidation!$B$2:$B$11, _xlfn.XMATCH(N134, DataValidation!$A$2:$A$11))</f>
        <v>3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2</v>
      </c>
      <c r="Z134" s="16">
        <v>156</v>
      </c>
      <c r="AA134" t="s">
        <v>9</v>
      </c>
      <c r="AB134">
        <v>3</v>
      </c>
    </row>
    <row r="135" spans="1:28" x14ac:dyDescent="0.25">
      <c r="A135" t="s">
        <v>64</v>
      </c>
      <c r="B135" t="s">
        <v>155</v>
      </c>
      <c r="C135" s="17"/>
      <c r="D135" s="5" t="s">
        <v>239</v>
      </c>
      <c r="E135" t="s">
        <v>257</v>
      </c>
      <c r="F135" s="5">
        <v>21900</v>
      </c>
      <c r="H135">
        <v>48</v>
      </c>
      <c r="I135">
        <v>0.02</v>
      </c>
      <c r="J135">
        <v>8</v>
      </c>
      <c r="K135">
        <v>6</v>
      </c>
      <c r="L135">
        <v>1300</v>
      </c>
      <c r="M135">
        <v>1</v>
      </c>
      <c r="N135" t="s">
        <v>304</v>
      </c>
      <c r="O135" cm="1">
        <f t="array" ref="O135">INDEX(DataValidation!$B$2:$B$11, _xlfn.XMATCH(N135, DataValidation!$A$2:$A$11))</f>
        <v>3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2</v>
      </c>
      <c r="Z135" s="16">
        <v>200</v>
      </c>
      <c r="AA135" t="s">
        <v>9</v>
      </c>
      <c r="AB135">
        <v>3</v>
      </c>
    </row>
    <row r="136" spans="1:28" x14ac:dyDescent="0.25">
      <c r="A136" t="s">
        <v>64</v>
      </c>
      <c r="B136" t="s">
        <v>156</v>
      </c>
      <c r="C136" s="17"/>
      <c r="D136" s="5" t="s">
        <v>239</v>
      </c>
      <c r="E136" t="s">
        <v>239</v>
      </c>
      <c r="F136" s="5">
        <v>22500</v>
      </c>
      <c r="H136">
        <v>45</v>
      </c>
      <c r="I136">
        <v>0.02</v>
      </c>
      <c r="J136">
        <v>10</v>
      </c>
      <c r="K136">
        <v>6</v>
      </c>
      <c r="L136">
        <v>1000</v>
      </c>
      <c r="M136">
        <v>1</v>
      </c>
      <c r="N136" t="s">
        <v>304</v>
      </c>
      <c r="O136" cm="1">
        <f t="array" ref="O136">INDEX(DataValidation!$B$2:$B$11, _xlfn.XMATCH(N136, DataValidation!$A$2:$A$11))</f>
        <v>3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2</v>
      </c>
      <c r="Z136" s="16">
        <v>200</v>
      </c>
      <c r="AA136" t="s">
        <v>9</v>
      </c>
      <c r="AB136">
        <v>3</v>
      </c>
    </row>
    <row r="137" spans="1:28" x14ac:dyDescent="0.25">
      <c r="A137" t="s">
        <v>64</v>
      </c>
      <c r="B137" t="s">
        <v>68</v>
      </c>
      <c r="C137" s="18" t="s">
        <v>67</v>
      </c>
      <c r="D137" s="5" t="s">
        <v>239</v>
      </c>
      <c r="E137" t="s">
        <v>257</v>
      </c>
      <c r="M137">
        <v>1</v>
      </c>
      <c r="N137" t="s">
        <v>304</v>
      </c>
      <c r="O137" cm="1">
        <f t="array" ref="O137">INDEX(DataValidation!$B$2:$B$11, _xlfn.XMATCH(N137, DataValidation!$A$2:$A$11))</f>
        <v>3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1</v>
      </c>
      <c r="AA137" t="s">
        <v>9</v>
      </c>
      <c r="AB137">
        <v>3</v>
      </c>
    </row>
    <row r="138" spans="1:28" x14ac:dyDescent="0.25">
      <c r="A138" t="s">
        <v>64</v>
      </c>
      <c r="B138" t="s">
        <v>70</v>
      </c>
      <c r="C138" s="18" t="s">
        <v>69</v>
      </c>
      <c r="D138" s="5" t="s">
        <v>239</v>
      </c>
      <c r="E138" t="s">
        <v>257</v>
      </c>
      <c r="H138">
        <v>80</v>
      </c>
      <c r="J138">
        <v>15</v>
      </c>
      <c r="M138">
        <v>2</v>
      </c>
      <c r="N138" t="s">
        <v>304</v>
      </c>
      <c r="O138" cm="1">
        <f t="array" ref="O138">INDEX(DataValidation!$B$2:$B$11, _xlfn.XMATCH(N138, DataValidation!$A$2:$A$11))</f>
        <v>3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1</v>
      </c>
      <c r="W138">
        <v>1</v>
      </c>
      <c r="X138">
        <v>2</v>
      </c>
      <c r="Y138">
        <v>0.5</v>
      </c>
      <c r="AA138" t="s">
        <v>9</v>
      </c>
      <c r="AB138">
        <v>3</v>
      </c>
    </row>
    <row r="139" spans="1:28" x14ac:dyDescent="0.25">
      <c r="A139" t="s">
        <v>73</v>
      </c>
      <c r="B139" t="s">
        <v>162</v>
      </c>
      <c r="C139" s="17" t="s">
        <v>71</v>
      </c>
      <c r="D139" s="5" t="s">
        <v>239</v>
      </c>
      <c r="E139" t="s">
        <v>239</v>
      </c>
      <c r="F139" s="5">
        <v>30320</v>
      </c>
      <c r="H139">
        <v>22.1</v>
      </c>
      <c r="I139">
        <v>0.05</v>
      </c>
      <c r="J139">
        <v>6</v>
      </c>
      <c r="K139">
        <v>6</v>
      </c>
      <c r="L139">
        <v>700</v>
      </c>
      <c r="M139">
        <v>1</v>
      </c>
      <c r="N139" t="s">
        <v>294</v>
      </c>
      <c r="O139" cm="1">
        <f t="array" ref="O139">INDEX(DataValidation!$B$2:$B$11, _xlfn.XMATCH(N139, DataValidation!$A$2:$A$11))</f>
        <v>1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2</v>
      </c>
      <c r="Z139" s="16">
        <v>177</v>
      </c>
      <c r="AA139" t="s">
        <v>54</v>
      </c>
      <c r="AB139">
        <v>3</v>
      </c>
    </row>
    <row r="140" spans="1:28" x14ac:dyDescent="0.25">
      <c r="A140" t="s">
        <v>73</v>
      </c>
      <c r="B140" t="s">
        <v>163</v>
      </c>
      <c r="C140" s="17"/>
      <c r="D140" s="5" t="s">
        <v>239</v>
      </c>
      <c r="E140" t="s">
        <v>239</v>
      </c>
      <c r="F140" s="5">
        <v>30320</v>
      </c>
      <c r="H140">
        <v>22.6</v>
      </c>
      <c r="I140">
        <v>0.05</v>
      </c>
      <c r="J140">
        <v>4</v>
      </c>
      <c r="K140">
        <v>6</v>
      </c>
      <c r="L140">
        <v>900</v>
      </c>
      <c r="M140">
        <v>1</v>
      </c>
      <c r="N140" t="s">
        <v>294</v>
      </c>
      <c r="O140" cm="1">
        <f t="array" ref="O140">INDEX(DataValidation!$B$2:$B$11, _xlfn.XMATCH(N140, DataValidation!$A$2:$A$11))</f>
        <v>1</v>
      </c>
      <c r="P140">
        <v>0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2</v>
      </c>
      <c r="Z140" s="16">
        <v>177</v>
      </c>
      <c r="AA140" t="s">
        <v>54</v>
      </c>
      <c r="AB140">
        <v>3</v>
      </c>
    </row>
    <row r="141" spans="1:28" x14ac:dyDescent="0.25">
      <c r="A141" t="s">
        <v>73</v>
      </c>
      <c r="B141" t="s">
        <v>164</v>
      </c>
      <c r="C141" s="17"/>
      <c r="D141" s="5" t="s">
        <v>239</v>
      </c>
      <c r="E141" t="s">
        <v>239</v>
      </c>
      <c r="F141" s="5">
        <v>41680</v>
      </c>
      <c r="H141">
        <v>32.799999999999997</v>
      </c>
      <c r="I141">
        <v>0.1</v>
      </c>
      <c r="J141">
        <v>12</v>
      </c>
      <c r="K141">
        <v>6</v>
      </c>
      <c r="L141">
        <v>1300</v>
      </c>
      <c r="M141">
        <v>1</v>
      </c>
      <c r="N141" t="s">
        <v>294</v>
      </c>
      <c r="O141" cm="1">
        <f t="array" ref="O141">INDEX(DataValidation!$B$2:$B$11, _xlfn.XMATCH(N141, DataValidation!$A$2:$A$11))</f>
        <v>1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2</v>
      </c>
      <c r="Z141" s="16">
        <v>203</v>
      </c>
      <c r="AA141" t="s">
        <v>54</v>
      </c>
      <c r="AB141">
        <v>3</v>
      </c>
    </row>
    <row r="142" spans="1:28" x14ac:dyDescent="0.25">
      <c r="A142" t="s">
        <v>73</v>
      </c>
      <c r="B142" t="s">
        <v>165</v>
      </c>
      <c r="C142" s="17"/>
      <c r="D142" s="5" t="s">
        <v>239</v>
      </c>
      <c r="E142" t="s">
        <v>239</v>
      </c>
      <c r="F142" s="5">
        <v>44210</v>
      </c>
      <c r="H142">
        <v>32.5</v>
      </c>
      <c r="I142">
        <v>0.1</v>
      </c>
      <c r="J142">
        <v>14</v>
      </c>
      <c r="K142">
        <v>6</v>
      </c>
      <c r="L142">
        <v>1100</v>
      </c>
      <c r="M142">
        <v>1</v>
      </c>
      <c r="N142" t="s">
        <v>294</v>
      </c>
      <c r="O142" cm="1">
        <f t="array" ref="O142">INDEX(DataValidation!$B$2:$B$11, _xlfn.XMATCH(N142, DataValidation!$A$2:$A$11))</f>
        <v>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2</v>
      </c>
      <c r="Z142" s="16">
        <v>203</v>
      </c>
      <c r="AA142" t="s">
        <v>54</v>
      </c>
      <c r="AB142">
        <v>3</v>
      </c>
    </row>
    <row r="143" spans="1:28" x14ac:dyDescent="0.25">
      <c r="A143" t="s">
        <v>73</v>
      </c>
      <c r="B143" t="s">
        <v>166</v>
      </c>
      <c r="C143" s="17"/>
      <c r="D143" s="5" t="s">
        <v>239</v>
      </c>
      <c r="E143" t="s">
        <v>257</v>
      </c>
      <c r="F143" s="5">
        <v>48050</v>
      </c>
      <c r="H143">
        <v>32.200000000000003</v>
      </c>
      <c r="I143">
        <v>0.1</v>
      </c>
      <c r="J143">
        <v>16</v>
      </c>
      <c r="K143">
        <v>6</v>
      </c>
      <c r="L143">
        <v>900</v>
      </c>
      <c r="M143">
        <v>1</v>
      </c>
      <c r="N143" t="s">
        <v>294</v>
      </c>
      <c r="O143" cm="1">
        <f t="array" ref="O143">INDEX(DataValidation!$B$2:$B$11, _xlfn.XMATCH(N143, DataValidation!$A$2:$A$11))</f>
        <v>1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2</v>
      </c>
      <c r="Z143" s="16">
        <v>203</v>
      </c>
      <c r="AA143" t="s">
        <v>54</v>
      </c>
      <c r="AB143">
        <v>3</v>
      </c>
    </row>
    <row r="144" spans="1:28" x14ac:dyDescent="0.25">
      <c r="A144" t="s">
        <v>73</v>
      </c>
      <c r="B144" t="s">
        <v>167</v>
      </c>
      <c r="C144" s="17"/>
      <c r="D144" s="5" t="s">
        <v>239</v>
      </c>
      <c r="E144" t="s">
        <v>239</v>
      </c>
      <c r="F144" s="5">
        <v>50650</v>
      </c>
      <c r="H144">
        <v>33</v>
      </c>
      <c r="I144">
        <v>0.1</v>
      </c>
      <c r="J144">
        <v>20</v>
      </c>
      <c r="K144">
        <v>6</v>
      </c>
      <c r="L144">
        <v>1300</v>
      </c>
      <c r="M144">
        <v>1</v>
      </c>
      <c r="N144" t="s">
        <v>294</v>
      </c>
      <c r="O144" cm="1">
        <f t="array" ref="O144">INDEX(DataValidation!$B$2:$B$11, _xlfn.XMATCH(N144, DataValidation!$A$2:$A$11))</f>
        <v>1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2</v>
      </c>
      <c r="Z144" s="16">
        <v>203</v>
      </c>
      <c r="AA144" t="s">
        <v>54</v>
      </c>
      <c r="AB144">
        <v>3</v>
      </c>
    </row>
    <row r="145" spans="1:28" x14ac:dyDescent="0.25">
      <c r="A145" t="s">
        <v>73</v>
      </c>
      <c r="B145" t="s">
        <v>157</v>
      </c>
      <c r="C145" s="17" t="s">
        <v>72</v>
      </c>
      <c r="D145" s="5" t="s">
        <v>239</v>
      </c>
      <c r="E145" t="s">
        <v>257</v>
      </c>
      <c r="H145">
        <v>23.6</v>
      </c>
      <c r="I145">
        <v>0.03</v>
      </c>
      <c r="J145">
        <v>5</v>
      </c>
      <c r="K145">
        <v>6</v>
      </c>
      <c r="L145">
        <v>900</v>
      </c>
      <c r="M145">
        <v>1</v>
      </c>
      <c r="N145" t="s">
        <v>258</v>
      </c>
      <c r="O145" cm="1">
        <f t="array" ref="O145">INDEX(DataValidation!$B$2:$B$11, _xlfn.XMATCH(N145, DataValidation!$A$2:$A$11))</f>
        <v>2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2</v>
      </c>
      <c r="Z145" s="16">
        <v>176.9</v>
      </c>
      <c r="AA145" t="s">
        <v>54</v>
      </c>
      <c r="AB145">
        <v>3</v>
      </c>
    </row>
    <row r="146" spans="1:28" x14ac:dyDescent="0.25">
      <c r="A146" t="s">
        <v>73</v>
      </c>
      <c r="B146" t="s">
        <v>158</v>
      </c>
      <c r="C146" s="17"/>
      <c r="D146" s="5" t="s">
        <v>239</v>
      </c>
      <c r="E146" t="s">
        <v>257</v>
      </c>
      <c r="H146">
        <v>22.6</v>
      </c>
      <c r="I146">
        <v>0.03</v>
      </c>
      <c r="J146">
        <v>7</v>
      </c>
      <c r="K146">
        <v>6</v>
      </c>
      <c r="L146">
        <v>700</v>
      </c>
      <c r="M146">
        <v>1</v>
      </c>
      <c r="N146" t="s">
        <v>258</v>
      </c>
      <c r="O146" cm="1">
        <f t="array" ref="O146">INDEX(DataValidation!$B$2:$B$11, _xlfn.XMATCH(N146, DataValidation!$A$2:$A$11))</f>
        <v>2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2</v>
      </c>
      <c r="Z146" s="16">
        <v>176.9</v>
      </c>
      <c r="AA146" t="s">
        <v>54</v>
      </c>
      <c r="AB146">
        <v>3</v>
      </c>
    </row>
    <row r="147" spans="1:28" x14ac:dyDescent="0.25">
      <c r="A147" t="s">
        <v>73</v>
      </c>
      <c r="B147" t="s">
        <v>159</v>
      </c>
      <c r="C147" s="17"/>
      <c r="D147" s="5" t="s">
        <v>239</v>
      </c>
      <c r="E147" t="s">
        <v>257</v>
      </c>
      <c r="H147">
        <v>33</v>
      </c>
      <c r="I147">
        <v>0.03</v>
      </c>
      <c r="J147">
        <v>12</v>
      </c>
      <c r="K147">
        <v>6</v>
      </c>
      <c r="L147">
        <v>1300</v>
      </c>
      <c r="M147">
        <v>1</v>
      </c>
      <c r="N147" t="s">
        <v>258</v>
      </c>
      <c r="O147" cm="1">
        <f t="array" ref="O147">INDEX(DataValidation!$B$2:$B$11, _xlfn.XMATCH(N147, DataValidation!$A$2:$A$11))</f>
        <v>2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2</v>
      </c>
      <c r="Z147" s="16">
        <v>202.9</v>
      </c>
      <c r="AA147" t="s">
        <v>54</v>
      </c>
      <c r="AB147">
        <v>3</v>
      </c>
    </row>
    <row r="148" spans="1:28" x14ac:dyDescent="0.25">
      <c r="A148" t="s">
        <v>73</v>
      </c>
      <c r="B148" t="s">
        <v>160</v>
      </c>
      <c r="C148" s="17"/>
      <c r="D148" s="5" t="s">
        <v>239</v>
      </c>
      <c r="E148" t="s">
        <v>257</v>
      </c>
      <c r="H148">
        <v>32.700000000000003</v>
      </c>
      <c r="I148">
        <v>0.03</v>
      </c>
      <c r="J148">
        <v>14</v>
      </c>
      <c r="K148">
        <v>6</v>
      </c>
      <c r="L148">
        <v>1100</v>
      </c>
      <c r="M148">
        <v>1</v>
      </c>
      <c r="N148" t="s">
        <v>258</v>
      </c>
      <c r="O148" cm="1">
        <f t="array" ref="O148">INDEX(DataValidation!$B$2:$B$11, _xlfn.XMATCH(N148, DataValidation!$A$2:$A$11))</f>
        <v>2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2</v>
      </c>
      <c r="Z148" s="16">
        <v>202.9</v>
      </c>
      <c r="AA148" t="s">
        <v>54</v>
      </c>
      <c r="AB148">
        <v>3</v>
      </c>
    </row>
    <row r="149" spans="1:28" x14ac:dyDescent="0.25">
      <c r="A149" t="s">
        <v>73</v>
      </c>
      <c r="B149" t="s">
        <v>161</v>
      </c>
      <c r="C149" s="17"/>
      <c r="D149" s="5" t="s">
        <v>239</v>
      </c>
      <c r="E149" t="s">
        <v>239</v>
      </c>
      <c r="H149">
        <v>81.3</v>
      </c>
      <c r="I149">
        <v>0.03</v>
      </c>
      <c r="J149">
        <v>25</v>
      </c>
      <c r="K149">
        <v>6</v>
      </c>
      <c r="L149">
        <v>1902</v>
      </c>
      <c r="M149">
        <v>1</v>
      </c>
      <c r="N149" t="s">
        <v>258</v>
      </c>
      <c r="O149" cm="1">
        <f t="array" ref="O149">INDEX(DataValidation!$B$2:$B$11, _xlfn.XMATCH(N149, DataValidation!$A$2:$A$11))</f>
        <v>2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2</v>
      </c>
      <c r="Z149" s="16">
        <v>259.91000000000003</v>
      </c>
      <c r="AA149" t="s">
        <v>54</v>
      </c>
      <c r="AB149">
        <v>3</v>
      </c>
    </row>
    <row r="150" spans="1:28" x14ac:dyDescent="0.25">
      <c r="A150" t="s">
        <v>19</v>
      </c>
      <c r="B150" t="s">
        <v>20</v>
      </c>
      <c r="C150" s="17"/>
      <c r="D150" s="5" t="s">
        <v>239</v>
      </c>
      <c r="E150" t="s">
        <v>239</v>
      </c>
      <c r="H150">
        <v>37</v>
      </c>
      <c r="I150">
        <v>0.03</v>
      </c>
      <c r="J150">
        <v>4</v>
      </c>
      <c r="K150">
        <v>6</v>
      </c>
      <c r="L150">
        <v>954</v>
      </c>
      <c r="M150">
        <v>1</v>
      </c>
      <c r="N150" t="s">
        <v>258</v>
      </c>
      <c r="O150" cm="1">
        <f t="array" ref="O150">INDEX(DataValidation!$B$2:$B$11, _xlfn.XMATCH(N150, DataValidation!$A$2:$A$11))</f>
        <v>2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AA150" t="s">
        <v>9</v>
      </c>
      <c r="AB150">
        <v>3</v>
      </c>
    </row>
    <row r="151" spans="1:28" x14ac:dyDescent="0.25">
      <c r="A151" t="s">
        <v>19</v>
      </c>
      <c r="B151" t="s">
        <v>108</v>
      </c>
      <c r="D151" s="5" t="s">
        <v>239</v>
      </c>
      <c r="E151" t="s">
        <v>257</v>
      </c>
      <c r="H151">
        <v>37</v>
      </c>
      <c r="I151">
        <v>0.03</v>
      </c>
      <c r="J151">
        <v>4</v>
      </c>
      <c r="K151">
        <v>6</v>
      </c>
      <c r="L151">
        <v>1317</v>
      </c>
      <c r="M151">
        <v>1</v>
      </c>
      <c r="N151" t="s">
        <v>258</v>
      </c>
      <c r="O151" cm="1">
        <f t="array" ref="O151">INDEX(DataValidation!$B$2:$B$11, _xlfn.XMATCH(N151, DataValidation!$A$2:$A$11))</f>
        <v>2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 s="5"/>
      <c r="AA151" t="s">
        <v>9</v>
      </c>
      <c r="AB151">
        <v>3</v>
      </c>
    </row>
    <row r="152" spans="1:28" x14ac:dyDescent="0.25">
      <c r="A152" t="s">
        <v>360</v>
      </c>
      <c r="B152" t="s">
        <v>361</v>
      </c>
      <c r="C152" s="17"/>
      <c r="D152" s="5" t="s">
        <v>257</v>
      </c>
      <c r="E152" t="s">
        <v>239</v>
      </c>
      <c r="F152" s="5">
        <v>20000</v>
      </c>
      <c r="H152">
        <v>11</v>
      </c>
      <c r="I152">
        <v>0.05</v>
      </c>
      <c r="J152">
        <v>3</v>
      </c>
      <c r="K152">
        <v>6</v>
      </c>
      <c r="L152">
        <v>730</v>
      </c>
      <c r="M152">
        <v>1</v>
      </c>
      <c r="N152" t="s">
        <v>294</v>
      </c>
      <c r="O152" cm="1">
        <f t="array" ref="O152">INDEX(DataValidation!$B$2:$B$11, _xlfn.XMATCH(N152, DataValidation!$A$2:$A$11))</f>
        <v>1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2</v>
      </c>
      <c r="AA152" t="s">
        <v>331</v>
      </c>
      <c r="AB152">
        <v>3</v>
      </c>
    </row>
    <row r="153" spans="1:28" x14ac:dyDescent="0.25">
      <c r="A153" t="s">
        <v>360</v>
      </c>
      <c r="B153" t="s">
        <v>362</v>
      </c>
      <c r="C153" s="17"/>
      <c r="D153" s="5" t="s">
        <v>257</v>
      </c>
      <c r="E153" t="s">
        <v>239</v>
      </c>
      <c r="F153" s="5">
        <v>23500</v>
      </c>
      <c r="H153">
        <v>22.4</v>
      </c>
      <c r="I153">
        <v>0.05</v>
      </c>
      <c r="J153">
        <v>3</v>
      </c>
      <c r="K153">
        <v>6</v>
      </c>
      <c r="L153">
        <v>1200</v>
      </c>
      <c r="M153">
        <v>1</v>
      </c>
      <c r="N153" t="s">
        <v>294</v>
      </c>
      <c r="O153" cm="1">
        <f t="array" ref="O153">INDEX(DataValidation!$B$2:$B$11, _xlfn.XMATCH(N153, DataValidation!$A$2:$A$11))</f>
        <v>1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2</v>
      </c>
      <c r="AA153" t="s">
        <v>331</v>
      </c>
      <c r="AB153">
        <v>3</v>
      </c>
    </row>
    <row r="154" spans="1:28" x14ac:dyDescent="0.25">
      <c r="A154" t="s">
        <v>360</v>
      </c>
      <c r="B154" t="s">
        <v>363</v>
      </c>
      <c r="C154" s="17"/>
      <c r="D154" s="5" t="s">
        <v>257</v>
      </c>
      <c r="E154" t="s">
        <v>239</v>
      </c>
      <c r="F154" s="5">
        <v>44500</v>
      </c>
      <c r="H154">
        <v>75</v>
      </c>
      <c r="I154">
        <v>0.05</v>
      </c>
      <c r="J154">
        <v>20</v>
      </c>
      <c r="K154">
        <v>6</v>
      </c>
      <c r="L154">
        <v>1900</v>
      </c>
      <c r="M154">
        <v>1</v>
      </c>
      <c r="N154" t="s">
        <v>294</v>
      </c>
      <c r="O154" cm="1">
        <f t="array" ref="O154">INDEX(DataValidation!$B$2:$B$11, _xlfn.XMATCH(N154, DataValidation!$A$2:$A$11))</f>
        <v>1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2</v>
      </c>
      <c r="AA154" t="s">
        <v>331</v>
      </c>
      <c r="AB154">
        <v>3</v>
      </c>
    </row>
    <row r="155" spans="1:28" x14ac:dyDescent="0.25">
      <c r="A155" t="s">
        <v>344</v>
      </c>
      <c r="B155" t="s">
        <v>345</v>
      </c>
      <c r="C155" s="17"/>
      <c r="D155" s="5" t="s">
        <v>257</v>
      </c>
      <c r="E155" t="s">
        <v>239</v>
      </c>
      <c r="F155" s="5">
        <v>13990</v>
      </c>
      <c r="H155">
        <v>17.5</v>
      </c>
      <c r="I155">
        <v>0.05</v>
      </c>
      <c r="J155">
        <v>4</v>
      </c>
      <c r="K155">
        <v>6</v>
      </c>
      <c r="L155">
        <v>919</v>
      </c>
      <c r="M155">
        <v>1</v>
      </c>
      <c r="N155" t="s">
        <v>294</v>
      </c>
      <c r="O155" cm="1">
        <f t="array" ref="O155">INDEX(DataValidation!$B$2:$B$11, _xlfn.XMATCH(N155, DataValidation!$A$2:$A$11))</f>
        <v>1</v>
      </c>
      <c r="P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2</v>
      </c>
      <c r="AA155" t="s">
        <v>9</v>
      </c>
      <c r="AB155">
        <v>3</v>
      </c>
    </row>
    <row r="156" spans="1:28" x14ac:dyDescent="0.25">
      <c r="A156" t="s">
        <v>364</v>
      </c>
      <c r="B156" t="s">
        <v>365</v>
      </c>
      <c r="C156" s="17"/>
      <c r="D156" s="5" t="s">
        <v>257</v>
      </c>
      <c r="E156" t="s">
        <v>239</v>
      </c>
      <c r="F156" s="5">
        <v>22900</v>
      </c>
      <c r="H156">
        <v>12</v>
      </c>
      <c r="I156">
        <v>0.02</v>
      </c>
      <c r="J156">
        <v>3</v>
      </c>
      <c r="K156">
        <v>6</v>
      </c>
      <c r="L156">
        <v>626</v>
      </c>
      <c r="M156">
        <v>1</v>
      </c>
      <c r="N156" t="s">
        <v>294</v>
      </c>
      <c r="O156" cm="1">
        <f t="array" ref="O156">INDEX(DataValidation!$B$2:$B$11, _xlfn.XMATCH(N156, DataValidation!$A$2:$A$11))</f>
        <v>1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2</v>
      </c>
      <c r="AA156" t="s">
        <v>9</v>
      </c>
      <c r="AB156">
        <v>3</v>
      </c>
    </row>
    <row r="157" spans="1:28" x14ac:dyDescent="0.25">
      <c r="A157" t="s">
        <v>364</v>
      </c>
      <c r="B157" t="s">
        <v>366</v>
      </c>
      <c r="D157" s="5" t="s">
        <v>257</v>
      </c>
      <c r="E157" t="s">
        <v>239</v>
      </c>
      <c r="F157" s="5">
        <v>24500</v>
      </c>
      <c r="H157">
        <v>23</v>
      </c>
      <c r="I157">
        <v>0.02</v>
      </c>
      <c r="J157">
        <v>5</v>
      </c>
      <c r="K157">
        <v>6</v>
      </c>
      <c r="L157">
        <v>954</v>
      </c>
      <c r="M157">
        <v>1</v>
      </c>
      <c r="N157" t="s">
        <v>294</v>
      </c>
      <c r="O157" cm="1">
        <f t="array" ref="O157">INDEX(DataValidation!$B$2:$B$11, _xlfn.XMATCH(N157, DataValidation!$A$2:$A$11))</f>
        <v>1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2</v>
      </c>
      <c r="AA157" t="s">
        <v>9</v>
      </c>
      <c r="AB157">
        <v>3</v>
      </c>
    </row>
    <row r="158" spans="1:28" x14ac:dyDescent="0.25">
      <c r="A158" t="s">
        <v>364</v>
      </c>
      <c r="B158" t="s">
        <v>367</v>
      </c>
      <c r="D158" s="5" t="s">
        <v>257</v>
      </c>
      <c r="E158" t="s">
        <v>239</v>
      </c>
      <c r="F158" s="5">
        <v>27200</v>
      </c>
      <c r="H158">
        <v>22</v>
      </c>
      <c r="I158">
        <v>0.02</v>
      </c>
      <c r="J158">
        <v>7</v>
      </c>
      <c r="K158">
        <v>6</v>
      </c>
      <c r="L158">
        <v>819</v>
      </c>
      <c r="M158">
        <v>1</v>
      </c>
      <c r="N158" t="s">
        <v>294</v>
      </c>
      <c r="O158" cm="1">
        <f t="array" ref="O158">INDEX(DataValidation!$B$2:$B$11, _xlfn.XMATCH(N158, DataValidation!$A$2:$A$11))</f>
        <v>1</v>
      </c>
      <c r="P158">
        <v>0</v>
      </c>
      <c r="Q158">
        <v>1</v>
      </c>
      <c r="R158">
        <v>0</v>
      </c>
      <c r="S158">
        <v>1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2</v>
      </c>
      <c r="AA158" t="s">
        <v>9</v>
      </c>
      <c r="AB158">
        <v>3</v>
      </c>
    </row>
    <row r="159" spans="1:28" x14ac:dyDescent="0.25">
      <c r="A159" t="s">
        <v>364</v>
      </c>
      <c r="B159" t="s">
        <v>368</v>
      </c>
      <c r="D159" s="5" t="s">
        <v>257</v>
      </c>
      <c r="E159" t="s">
        <v>239</v>
      </c>
      <c r="F159" s="5">
        <v>31500</v>
      </c>
      <c r="H159">
        <v>41</v>
      </c>
      <c r="I159">
        <v>0.02</v>
      </c>
      <c r="J159">
        <v>12</v>
      </c>
      <c r="K159">
        <v>6</v>
      </c>
      <c r="L159">
        <v>1327</v>
      </c>
      <c r="M159">
        <v>1</v>
      </c>
      <c r="N159" t="s">
        <v>294</v>
      </c>
      <c r="O159" cm="1">
        <f t="array" ref="O159">INDEX(DataValidation!$B$2:$B$11, _xlfn.XMATCH(N159, DataValidation!$A$2:$A$11))</f>
        <v>1</v>
      </c>
      <c r="P159">
        <v>0</v>
      </c>
      <c r="Q159">
        <v>1</v>
      </c>
      <c r="R159">
        <v>0</v>
      </c>
      <c r="S159">
        <v>1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2</v>
      </c>
      <c r="AA159" t="s">
        <v>9</v>
      </c>
      <c r="AB159">
        <v>3</v>
      </c>
    </row>
    <row r="160" spans="1:28" x14ac:dyDescent="0.25">
      <c r="A160" t="s">
        <v>364</v>
      </c>
      <c r="B160" t="s">
        <v>369</v>
      </c>
      <c r="D160" s="5" t="s">
        <v>257</v>
      </c>
      <c r="E160" t="s">
        <v>239</v>
      </c>
      <c r="F160" s="5">
        <v>36900</v>
      </c>
      <c r="H160">
        <v>35</v>
      </c>
      <c r="I160">
        <v>0.02</v>
      </c>
      <c r="J160">
        <v>18</v>
      </c>
      <c r="K160">
        <v>6</v>
      </c>
      <c r="L160">
        <v>1073</v>
      </c>
      <c r="M160">
        <v>1</v>
      </c>
      <c r="N160" t="s">
        <v>294</v>
      </c>
      <c r="O160" cm="1">
        <f t="array" ref="O160">INDEX(DataValidation!$B$2:$B$11, _xlfn.XMATCH(N160, DataValidation!$A$2:$A$11))</f>
        <v>1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2</v>
      </c>
      <c r="AA160" t="s">
        <v>9</v>
      </c>
      <c r="AB160">
        <v>3</v>
      </c>
    </row>
    <row r="161" spans="1:29" x14ac:dyDescent="0.25">
      <c r="A161" t="s">
        <v>370</v>
      </c>
      <c r="B161" t="s">
        <v>371</v>
      </c>
      <c r="D161" s="5" t="s">
        <v>257</v>
      </c>
      <c r="E161" t="s">
        <v>239</v>
      </c>
      <c r="G161">
        <v>35000</v>
      </c>
      <c r="H161">
        <v>25</v>
      </c>
      <c r="I161">
        <v>0.02</v>
      </c>
      <c r="J161">
        <v>5</v>
      </c>
      <c r="K161">
        <v>6</v>
      </c>
      <c r="L161">
        <v>800</v>
      </c>
      <c r="M161">
        <v>1</v>
      </c>
      <c r="N161" t="s">
        <v>258</v>
      </c>
      <c r="O161" cm="1">
        <f t="array" ref="O161">INDEX(DataValidation!$B$2:$B$11, _xlfn.XMATCH(N161, DataValidation!$A$2:$A$11))</f>
        <v>2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2</v>
      </c>
      <c r="AA161" t="s">
        <v>27</v>
      </c>
      <c r="AB161">
        <v>3</v>
      </c>
    </row>
    <row r="162" spans="1:29" x14ac:dyDescent="0.25">
      <c r="A162" t="s">
        <v>74</v>
      </c>
      <c r="B162" t="s">
        <v>372</v>
      </c>
      <c r="D162" s="5" t="s">
        <v>239</v>
      </c>
      <c r="E162" t="s">
        <v>239</v>
      </c>
      <c r="M162">
        <v>1</v>
      </c>
      <c r="O162" cm="1">
        <f t="array" ref="O162">INDEX(DataValidation!$B$2:$B$11, _xlfn.XMATCH(N162, DataValidation!$A$2:$A$11))</f>
        <v>0</v>
      </c>
      <c r="Z162" s="5"/>
      <c r="AB162">
        <v>3</v>
      </c>
      <c r="AC162" t="s">
        <v>239</v>
      </c>
    </row>
    <row r="163" spans="1:29" x14ac:dyDescent="0.25">
      <c r="A163" t="s">
        <v>74</v>
      </c>
      <c r="B163" t="s">
        <v>373</v>
      </c>
      <c r="D163" s="5" t="s">
        <v>239</v>
      </c>
      <c r="E163" t="s">
        <v>239</v>
      </c>
      <c r="O163" cm="1">
        <f t="array" ref="O163">INDEX(DataValidation!$B$2:$B$11, _xlfn.XMATCH(N163, DataValidation!$A$2:$A$11))</f>
        <v>0</v>
      </c>
      <c r="AB163">
        <v>3</v>
      </c>
      <c r="AC163" t="s">
        <v>239</v>
      </c>
    </row>
    <row r="164" spans="1:29" x14ac:dyDescent="0.25">
      <c r="A164" t="s">
        <v>374</v>
      </c>
      <c r="B164" t="s">
        <v>375</v>
      </c>
      <c r="D164" s="5" t="s">
        <v>257</v>
      </c>
      <c r="E164" t="s">
        <v>239</v>
      </c>
      <c r="H164">
        <v>80.599999999999994</v>
      </c>
      <c r="I164">
        <v>0.03</v>
      </c>
      <c r="J164">
        <v>35</v>
      </c>
      <c r="K164">
        <v>6</v>
      </c>
      <c r="L164">
        <v>1702</v>
      </c>
      <c r="M164">
        <v>1</v>
      </c>
      <c r="N164" t="s">
        <v>258</v>
      </c>
      <c r="O164" cm="1">
        <f t="array" ref="O164">INDEX(DataValidation!$B$2:$B$11, _xlfn.XMATCH(N164, DataValidation!$A$2:$A$11))</f>
        <v>2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2</v>
      </c>
      <c r="AA164" t="s">
        <v>283</v>
      </c>
      <c r="AB164">
        <v>3</v>
      </c>
    </row>
    <row r="165" spans="1:29" x14ac:dyDescent="0.25">
      <c r="A165" t="s">
        <v>376</v>
      </c>
      <c r="B165" t="s">
        <v>377</v>
      </c>
      <c r="D165" s="5" t="s">
        <v>257</v>
      </c>
      <c r="E165" t="s">
        <v>239</v>
      </c>
      <c r="F165" s="5">
        <v>4900</v>
      </c>
      <c r="H165">
        <v>12.2</v>
      </c>
      <c r="I165">
        <v>0.1</v>
      </c>
      <c r="J165">
        <v>5</v>
      </c>
      <c r="K165">
        <v>6</v>
      </c>
      <c r="L165">
        <v>700</v>
      </c>
      <c r="M165">
        <v>1</v>
      </c>
      <c r="N165" t="s">
        <v>304</v>
      </c>
      <c r="O165" cm="1">
        <f t="array" ref="O165">INDEX(DataValidation!$B$2:$B$11, _xlfn.XMATCH(N165, DataValidation!$A$2:$A$11))</f>
        <v>3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2</v>
      </c>
      <c r="AA165" t="s">
        <v>27</v>
      </c>
      <c r="AB165">
        <v>3</v>
      </c>
    </row>
    <row r="166" spans="1:29" x14ac:dyDescent="0.25">
      <c r="A166" t="s">
        <v>5</v>
      </c>
      <c r="B166" t="s">
        <v>89</v>
      </c>
      <c r="C166" s="17" t="s">
        <v>88</v>
      </c>
      <c r="D166" s="5" t="s">
        <v>239</v>
      </c>
      <c r="E166" t="s">
        <v>239</v>
      </c>
      <c r="F166" s="5">
        <v>27022</v>
      </c>
      <c r="H166">
        <v>11.2</v>
      </c>
      <c r="I166">
        <v>0.03</v>
      </c>
      <c r="J166">
        <v>3</v>
      </c>
      <c r="K166">
        <v>6</v>
      </c>
      <c r="L166">
        <v>500</v>
      </c>
      <c r="M166">
        <v>1</v>
      </c>
      <c r="N166" t="s">
        <v>294</v>
      </c>
      <c r="O166" cm="1">
        <f t="array" ref="O166">INDEX(DataValidation!$B$2:$B$11, _xlfn.XMATCH(N166, DataValidation!$A$2:$A$11))</f>
        <v>1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2</v>
      </c>
      <c r="Z166" s="16">
        <v>128</v>
      </c>
      <c r="AA166" t="s">
        <v>87</v>
      </c>
      <c r="AB166">
        <v>3</v>
      </c>
    </row>
    <row r="167" spans="1:29" x14ac:dyDescent="0.25">
      <c r="A167" t="s">
        <v>5</v>
      </c>
      <c r="B167" t="s">
        <v>91</v>
      </c>
      <c r="C167" s="17" t="s">
        <v>90</v>
      </c>
      <c r="D167" s="5" t="s">
        <v>239</v>
      </c>
      <c r="E167" t="s">
        <v>239</v>
      </c>
      <c r="F167" s="5">
        <v>30619</v>
      </c>
      <c r="H167">
        <v>18.399999999999999</v>
      </c>
      <c r="I167">
        <v>0.03</v>
      </c>
      <c r="J167">
        <v>5</v>
      </c>
      <c r="K167">
        <v>6</v>
      </c>
      <c r="L167">
        <v>850</v>
      </c>
      <c r="M167">
        <v>1</v>
      </c>
      <c r="N167" t="s">
        <v>294</v>
      </c>
      <c r="O167" cm="1">
        <f t="array" ref="O167">INDEX(DataValidation!$B$2:$B$11, _xlfn.XMATCH(N167, DataValidation!$A$2:$A$11))</f>
        <v>1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2</v>
      </c>
      <c r="Z167" s="16">
        <v>151</v>
      </c>
      <c r="AA167" t="s">
        <v>87</v>
      </c>
      <c r="AB167">
        <v>3</v>
      </c>
    </row>
    <row r="168" spans="1:29" x14ac:dyDescent="0.25">
      <c r="A168" t="s">
        <v>5</v>
      </c>
      <c r="B168" t="s">
        <v>93</v>
      </c>
      <c r="C168" s="17" t="s">
        <v>92</v>
      </c>
      <c r="D168" s="5" t="s">
        <v>239</v>
      </c>
      <c r="E168" t="s">
        <v>239</v>
      </c>
      <c r="F168" s="5">
        <v>39707</v>
      </c>
      <c r="H168">
        <v>33.5</v>
      </c>
      <c r="I168">
        <v>0.03</v>
      </c>
      <c r="J168">
        <v>12.5</v>
      </c>
      <c r="K168">
        <v>6</v>
      </c>
      <c r="L168">
        <v>1300</v>
      </c>
      <c r="M168">
        <v>1</v>
      </c>
      <c r="N168" t="s">
        <v>294</v>
      </c>
      <c r="O168" cm="1">
        <f t="array" ref="O168">INDEX(DataValidation!$B$2:$B$11, _xlfn.XMATCH(N168, DataValidation!$A$2:$A$11))</f>
        <v>1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2</v>
      </c>
      <c r="Z168" s="16">
        <v>190</v>
      </c>
      <c r="AA168" t="s">
        <v>87</v>
      </c>
      <c r="AB168">
        <v>3</v>
      </c>
    </row>
    <row r="169" spans="1:29" x14ac:dyDescent="0.25">
      <c r="A169" t="s">
        <v>5</v>
      </c>
      <c r="B169" t="s">
        <v>95</v>
      </c>
      <c r="C169" s="17" t="s">
        <v>94</v>
      </c>
      <c r="D169" s="5" t="s">
        <v>239</v>
      </c>
      <c r="E169" t="s">
        <v>239</v>
      </c>
      <c r="F169" s="5">
        <v>43495</v>
      </c>
      <c r="H169">
        <v>33.1</v>
      </c>
      <c r="I169">
        <v>0.05</v>
      </c>
      <c r="J169">
        <v>16</v>
      </c>
      <c r="K169">
        <v>6</v>
      </c>
      <c r="L169">
        <v>900</v>
      </c>
      <c r="M169">
        <v>1</v>
      </c>
      <c r="N169" t="s">
        <v>294</v>
      </c>
      <c r="O169" cm="1">
        <f t="array" ref="O169">INDEX(DataValidation!$B$2:$B$11, _xlfn.XMATCH(N169, DataValidation!$A$2:$A$11))</f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2</v>
      </c>
      <c r="Z169" s="16">
        <v>190</v>
      </c>
      <c r="AA169" t="s">
        <v>87</v>
      </c>
      <c r="AB169">
        <v>3</v>
      </c>
    </row>
    <row r="170" spans="1:29" x14ac:dyDescent="0.25">
      <c r="A170" t="s">
        <v>5</v>
      </c>
      <c r="B170" t="s">
        <v>97</v>
      </c>
      <c r="C170" s="17" t="s">
        <v>96</v>
      </c>
      <c r="D170" s="5" t="s">
        <v>239</v>
      </c>
      <c r="E170" t="s">
        <v>239</v>
      </c>
      <c r="F170" s="5">
        <v>54333</v>
      </c>
      <c r="H170">
        <v>64</v>
      </c>
      <c r="I170">
        <v>0.05</v>
      </c>
      <c r="J170">
        <v>25</v>
      </c>
      <c r="K170">
        <v>6</v>
      </c>
      <c r="L170">
        <v>1750</v>
      </c>
      <c r="M170">
        <v>1</v>
      </c>
      <c r="N170" t="s">
        <v>294</v>
      </c>
      <c r="O170" cm="1">
        <f t="array" ref="O170">INDEX(DataValidation!$B$2:$B$11, _xlfn.XMATCH(N170, DataValidation!$A$2:$A$11))</f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2</v>
      </c>
      <c r="Z170" s="16">
        <v>245</v>
      </c>
      <c r="AA170" t="s">
        <v>87</v>
      </c>
      <c r="AB170">
        <v>3</v>
      </c>
    </row>
    <row r="171" spans="1:29" x14ac:dyDescent="0.25">
      <c r="A171" t="s">
        <v>5</v>
      </c>
      <c r="B171" t="s">
        <v>99</v>
      </c>
      <c r="C171" s="17" t="s">
        <v>98</v>
      </c>
      <c r="D171" s="5" t="s">
        <v>239</v>
      </c>
      <c r="E171" t="s">
        <v>239</v>
      </c>
      <c r="F171" s="5">
        <v>51495</v>
      </c>
      <c r="H171">
        <v>63.5</v>
      </c>
      <c r="I171">
        <v>0.1</v>
      </c>
      <c r="J171">
        <v>35</v>
      </c>
      <c r="K171">
        <v>6</v>
      </c>
      <c r="L171">
        <v>1300</v>
      </c>
      <c r="M171">
        <v>1</v>
      </c>
      <c r="N171" t="s">
        <v>294</v>
      </c>
      <c r="O171" cm="1">
        <f t="array" ref="O171">INDEX(DataValidation!$B$2:$B$11, _xlfn.XMATCH(N171, DataValidation!$A$2:$A$11))</f>
        <v>1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2</v>
      </c>
      <c r="Z171" s="16">
        <v>245</v>
      </c>
      <c r="AA171" t="s">
        <v>87</v>
      </c>
      <c r="AB171">
        <v>3</v>
      </c>
    </row>
    <row r="172" spans="1:29" x14ac:dyDescent="0.25">
      <c r="A172" t="s">
        <v>6</v>
      </c>
      <c r="B172" t="s">
        <v>174</v>
      </c>
      <c r="C172" s="17" t="s">
        <v>173</v>
      </c>
      <c r="D172" s="5" t="s">
        <v>239</v>
      </c>
      <c r="E172" t="s">
        <v>257</v>
      </c>
      <c r="H172">
        <v>48</v>
      </c>
      <c r="J172">
        <v>10</v>
      </c>
      <c r="K172">
        <v>6</v>
      </c>
      <c r="L172">
        <v>1379</v>
      </c>
      <c r="M172">
        <v>1</v>
      </c>
      <c r="N172" t="s">
        <v>294</v>
      </c>
      <c r="O172" cm="1">
        <f t="array" ref="O172">INDEX(DataValidation!$B$2:$B$11, _xlfn.XMATCH(N172, DataValidation!$A$2:$A$11))</f>
        <v>1</v>
      </c>
      <c r="Z172" s="16" t="s">
        <v>175</v>
      </c>
      <c r="AA172" t="s">
        <v>54</v>
      </c>
      <c r="AB172">
        <v>3</v>
      </c>
      <c r="AC172" t="s">
        <v>239</v>
      </c>
    </row>
    <row r="173" spans="1:29" x14ac:dyDescent="0.25">
      <c r="A173" t="s">
        <v>6</v>
      </c>
      <c r="B173" t="s">
        <v>168</v>
      </c>
      <c r="D173" s="5" t="s">
        <v>239</v>
      </c>
      <c r="E173" t="s">
        <v>239</v>
      </c>
      <c r="F173" s="5">
        <v>38120</v>
      </c>
      <c r="H173">
        <v>58</v>
      </c>
      <c r="I173">
        <v>0.05</v>
      </c>
      <c r="J173">
        <v>10</v>
      </c>
      <c r="K173">
        <v>6</v>
      </c>
      <c r="L173">
        <v>1379</v>
      </c>
      <c r="M173">
        <v>1</v>
      </c>
      <c r="N173" t="s">
        <v>294</v>
      </c>
      <c r="O173" cm="1">
        <f t="array" ref="O173">INDEX(DataValidation!$B$2:$B$11, _xlfn.XMATCH(N173, DataValidation!$A$2:$A$11))</f>
        <v>1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2</v>
      </c>
      <c r="Z173" s="16" t="s">
        <v>175</v>
      </c>
      <c r="AA173" t="s">
        <v>54</v>
      </c>
      <c r="AB173">
        <v>3</v>
      </c>
    </row>
    <row r="174" spans="1:29" x14ac:dyDescent="0.25">
      <c r="A174" t="s">
        <v>6</v>
      </c>
      <c r="B174" t="s">
        <v>169</v>
      </c>
      <c r="D174" s="5" t="s">
        <v>239</v>
      </c>
      <c r="E174" t="s">
        <v>239</v>
      </c>
      <c r="H174">
        <v>58</v>
      </c>
      <c r="I174">
        <v>0.05</v>
      </c>
      <c r="J174">
        <v>10</v>
      </c>
      <c r="K174">
        <v>6</v>
      </c>
      <c r="L174">
        <v>1082</v>
      </c>
      <c r="M174">
        <v>1</v>
      </c>
      <c r="N174" t="s">
        <v>294</v>
      </c>
      <c r="O174" cm="1">
        <f t="array" ref="O174">INDEX(DataValidation!$B$2:$B$11, _xlfn.XMATCH(N174, DataValidation!$A$2:$A$11))</f>
        <v>1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2</v>
      </c>
      <c r="Z174" s="16" t="s">
        <v>175</v>
      </c>
      <c r="AA174" t="s">
        <v>54</v>
      </c>
      <c r="AB174">
        <v>3</v>
      </c>
    </row>
    <row r="175" spans="1:29" x14ac:dyDescent="0.25">
      <c r="A175" t="s">
        <v>6</v>
      </c>
      <c r="B175" t="s">
        <v>170</v>
      </c>
      <c r="D175" s="5" t="s">
        <v>239</v>
      </c>
      <c r="E175" t="s">
        <v>239</v>
      </c>
      <c r="F175" s="5">
        <v>52220</v>
      </c>
      <c r="H175">
        <v>140</v>
      </c>
      <c r="I175">
        <v>0.05</v>
      </c>
      <c r="J175">
        <v>20</v>
      </c>
      <c r="K175">
        <v>6</v>
      </c>
      <c r="L175">
        <v>1900</v>
      </c>
      <c r="M175">
        <v>1</v>
      </c>
      <c r="N175" t="s">
        <v>294</v>
      </c>
      <c r="O175" cm="1">
        <f t="array" ref="O175">INDEX(DataValidation!$B$2:$B$11, _xlfn.XMATCH(N175, DataValidation!$A$2:$A$11))</f>
        <v>1</v>
      </c>
      <c r="P175">
        <v>0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2</v>
      </c>
      <c r="Z175" s="16" t="s">
        <v>176</v>
      </c>
      <c r="AA175" t="s">
        <v>54</v>
      </c>
      <c r="AB175">
        <v>3</v>
      </c>
    </row>
    <row r="176" spans="1:29" x14ac:dyDescent="0.25">
      <c r="A176" t="s">
        <v>6</v>
      </c>
      <c r="B176" t="s">
        <v>171</v>
      </c>
      <c r="D176" s="5" t="s">
        <v>239</v>
      </c>
      <c r="E176" t="s">
        <v>239</v>
      </c>
      <c r="H176">
        <v>97</v>
      </c>
      <c r="I176">
        <v>0.05</v>
      </c>
      <c r="J176">
        <v>20</v>
      </c>
      <c r="K176">
        <v>6</v>
      </c>
      <c r="L176">
        <v>1412</v>
      </c>
      <c r="M176">
        <v>1</v>
      </c>
      <c r="N176" t="s">
        <v>294</v>
      </c>
      <c r="O176" cm="1">
        <f t="array" ref="O176">INDEX(DataValidation!$B$2:$B$11, _xlfn.XMATCH(N176, DataValidation!$A$2:$A$11))</f>
        <v>1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2</v>
      </c>
      <c r="Z176" s="16" t="s">
        <v>177</v>
      </c>
      <c r="AA176" t="s">
        <v>54</v>
      </c>
      <c r="AB176">
        <v>3</v>
      </c>
    </row>
    <row r="177" spans="1:28" s="14" customFormat="1" x14ac:dyDescent="0.25">
      <c r="A177" s="14" t="s">
        <v>6</v>
      </c>
      <c r="B177" s="14" t="s">
        <v>172</v>
      </c>
      <c r="D177" s="15" t="s">
        <v>239</v>
      </c>
      <c r="E177" s="14" t="s">
        <v>239</v>
      </c>
      <c r="F177" s="15"/>
      <c r="H177" s="14">
        <v>140</v>
      </c>
      <c r="I177" s="14">
        <v>0.05</v>
      </c>
      <c r="J177" s="14">
        <v>30</v>
      </c>
      <c r="K177" s="14">
        <v>6</v>
      </c>
      <c r="L177" s="14">
        <v>1700</v>
      </c>
      <c r="M177" s="14">
        <v>1</v>
      </c>
      <c r="N177" s="14" t="s">
        <v>294</v>
      </c>
      <c r="O177" s="14" cm="1">
        <f t="array" ref="O177">INDEX(DataValidation!$B$2:$B$11, _xlfn.XMATCH(N177, DataValidation!$A$2:$A$11))</f>
        <v>1</v>
      </c>
      <c r="P177" s="14">
        <v>0</v>
      </c>
      <c r="Q177" s="14">
        <v>1</v>
      </c>
      <c r="R177" s="14">
        <v>1</v>
      </c>
      <c r="S177" s="14">
        <v>1</v>
      </c>
      <c r="T177" s="14">
        <v>0</v>
      </c>
      <c r="U177" s="14">
        <v>0</v>
      </c>
      <c r="V177" s="14">
        <v>0</v>
      </c>
      <c r="W177" s="14">
        <v>1</v>
      </c>
      <c r="X177" s="14">
        <v>0</v>
      </c>
      <c r="Y177" s="14">
        <v>2</v>
      </c>
      <c r="Z177" s="19" t="s">
        <v>176</v>
      </c>
      <c r="AA177" s="14" t="s">
        <v>54</v>
      </c>
      <c r="AB177" s="14">
        <v>3</v>
      </c>
    </row>
    <row r="178" spans="1:28" x14ac:dyDescent="0.25">
      <c r="C178" t="s">
        <v>378</v>
      </c>
      <c r="D178" s="20">
        <f>COUNTIF(D2:D177,"Y")</f>
        <v>99</v>
      </c>
      <c r="E178" s="21">
        <f>COUNTIF(E2:E177,"Y")</f>
        <v>127</v>
      </c>
    </row>
    <row r="179" spans="1:28" x14ac:dyDescent="0.25">
      <c r="C179" t="s">
        <v>379</v>
      </c>
      <c r="D179" s="62" cm="1">
        <f t="array" ref="D179">SUM((D2:D177=E2:E177)*1)</f>
        <v>50</v>
      </c>
      <c r="E179" s="63"/>
    </row>
    <row r="180" spans="1:28" x14ac:dyDescent="0.25">
      <c r="C180" t="s">
        <v>381</v>
      </c>
      <c r="D180" s="62">
        <f>D178+E178-D179</f>
        <v>176</v>
      </c>
      <c r="E180" s="63"/>
    </row>
    <row r="181" spans="1:28" x14ac:dyDescent="0.25">
      <c r="C181" t="s">
        <v>382</v>
      </c>
      <c r="D181" s="62">
        <f>COUNTIF(AC2:AC177,"Y")</f>
        <v>15</v>
      </c>
      <c r="E181" s="63"/>
    </row>
    <row r="182" spans="1:28" x14ac:dyDescent="0.25">
      <c r="C182" t="s">
        <v>380</v>
      </c>
      <c r="D182" s="62">
        <f>D180-D181</f>
        <v>161</v>
      </c>
      <c r="E182" s="63"/>
    </row>
  </sheetData>
  <mergeCells count="4">
    <mergeCell ref="D179:E179"/>
    <mergeCell ref="D180:E180"/>
    <mergeCell ref="D181:E181"/>
    <mergeCell ref="D182:E182"/>
  </mergeCells>
  <phoneticPr fontId="3" type="noConversion"/>
  <conditionalFormatting sqref="B1:B1048576">
    <cfRule type="expression" dxfId="5" priority="1">
      <formula>$AC1="Y"</formula>
    </cfRule>
  </conditionalFormatting>
  <conditionalFormatting sqref="AB179:AB269 AB2:AB17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C82" r:id="rId1" xr:uid="{DC533797-A0E5-4ED5-8055-E46FBD09E43F}"/>
    <hyperlink ref="C65" r:id="rId2" xr:uid="{98DBA313-4BEF-4F5B-9DC7-A18F838D8B22}"/>
    <hyperlink ref="C64" r:id="rId3" xr:uid="{B66EB05B-16C1-4A1C-8698-8375C8CE0120}"/>
    <hyperlink ref="C63" r:id="rId4" xr:uid="{A0EF3CDE-5E99-4BB8-B4D1-C1C65F8C9F31}"/>
    <hyperlink ref="C62" r:id="rId5" xr:uid="{45C5736A-0BFB-491C-AADE-52038C529D83}"/>
    <hyperlink ref="C61" r:id="rId6" xr:uid="{DC27CC80-FBEB-4D62-8D78-A83AB8AE5EC6}"/>
    <hyperlink ref="C60" r:id="rId7" xr:uid="{016168FA-682A-41C8-8575-B80C1065ABB7}"/>
    <hyperlink ref="C59" r:id="rId8" xr:uid="{F3B21373-A2AF-4D42-B5A4-B9054005F886}"/>
    <hyperlink ref="C58" r:id="rId9" xr:uid="{7BDE7A73-01FF-48C0-9DF9-C28271983350}"/>
    <hyperlink ref="C57" r:id="rId10" xr:uid="{5C007FD0-586F-4D0C-9310-4B6CBAD4B574}"/>
    <hyperlink ref="C56" r:id="rId11" xr:uid="{8EDF4FA7-FD31-4EC2-AA92-D5E47357BAD3}"/>
    <hyperlink ref="C41" r:id="rId12" xr:uid="{8C15540C-1F24-40F7-B8A4-21E26937516E}"/>
    <hyperlink ref="C22" r:id="rId13" xr:uid="{D53B3080-78A4-4B25-B8A1-34AA0CCEC5EE}"/>
    <hyperlink ref="C21" r:id="rId14" xr:uid="{4DE2171F-615B-45FB-8999-EECF91BB146D}"/>
    <hyperlink ref="C87" r:id="rId15" xr:uid="{32C2E044-5FA3-4EBA-8095-C7D92A02D37E}"/>
    <hyperlink ref="C106" r:id="rId16" xr:uid="{B7230090-4141-4E7C-A171-0304B9BD0C61}"/>
    <hyperlink ref="C112" r:id="rId17" xr:uid="{0CD32A55-A48A-4AE3-8B85-25525CFD2686}"/>
    <hyperlink ref="C128" r:id="rId18" xr:uid="{535776FB-1A49-4C4D-93A2-408CF13F56B4}"/>
    <hyperlink ref="C129" r:id="rId19" xr:uid="{FE26FB99-E470-4A20-BD9C-D505C6EE3C15}"/>
    <hyperlink ref="C130" r:id="rId20" xr:uid="{079C4AA2-AF18-48EA-9EF0-D115DCFF1312}"/>
    <hyperlink ref="C133" r:id="rId21" xr:uid="{F8D1C487-2B17-4671-864A-A977B559887F}"/>
    <hyperlink ref="C137" r:id="rId22" xr:uid="{9A8A6516-B2E5-4119-920A-152F2D85921F}"/>
    <hyperlink ref="C138" r:id="rId23" xr:uid="{A9BCECCE-4D77-469B-9D24-7151FE0ABA2F}"/>
    <hyperlink ref="C139" r:id="rId24" xr:uid="{DDBAC766-F6D0-41BD-B9A0-102BE81D0F23}"/>
    <hyperlink ref="C145" r:id="rId25" xr:uid="{1A843659-84B9-4047-9373-689D08F2794C}"/>
    <hyperlink ref="C2" r:id="rId26" xr:uid="{E6A17EFA-61A6-416F-BA63-B671BFDDA7B9}"/>
    <hyperlink ref="C6" r:id="rId27" xr:uid="{8C3C8634-64C6-41B4-80C4-9F1D6FECAFD1}"/>
    <hyperlink ref="C5" r:id="rId28" xr:uid="{CD9DB97C-19A8-4A83-B9EB-6003278E97D2}"/>
    <hyperlink ref="C67" r:id="rId29" xr:uid="{BFEB4677-41A6-46EE-BDDE-9AA8E01F65CA}"/>
    <hyperlink ref="C114" r:id="rId30" xr:uid="{74784F0F-EA24-49A7-BDE8-3C0ECB1E5B61}"/>
    <hyperlink ref="C119" r:id="rId31" xr:uid="{A678015C-6B67-4F1B-8C92-93658109B357}"/>
    <hyperlink ref="C120" r:id="rId32" xr:uid="{5A1EB420-1410-41B6-8F75-DB6B9B39DB01}"/>
    <hyperlink ref="C121" r:id="rId33" xr:uid="{B533490D-B0A0-47CC-9DC5-9A6305BD767D}"/>
    <hyperlink ref="C122" r:id="rId34" xr:uid="{DA71767B-617D-4CF6-BF8A-34A76233BE63}"/>
    <hyperlink ref="C166" r:id="rId35" xr:uid="{76F10DAC-26C5-4968-B3E1-91B459EEF132}"/>
    <hyperlink ref="C167" r:id="rId36" xr:uid="{4DDB4070-4643-4232-9A23-CA234E5DDCCC}"/>
    <hyperlink ref="C168" r:id="rId37" xr:uid="{CD416F53-FA76-406D-ABB0-CD7AC36BE5F1}"/>
    <hyperlink ref="C169" r:id="rId38" xr:uid="{83E8E077-1F30-4F17-B6AE-F5A28BA52244}"/>
    <hyperlink ref="C170" r:id="rId39" xr:uid="{33C3EF60-A1BE-41AD-AA38-E903A6161DE4}"/>
    <hyperlink ref="C171" r:id="rId40" xr:uid="{B47E4018-C3ED-417D-84C6-00C87FCFAFE7}"/>
    <hyperlink ref="C92" r:id="rId41" xr:uid="{A7ED5AE9-75FB-4C1C-A660-73BD300DA27E}"/>
    <hyperlink ref="C97" r:id="rId42" xr:uid="{D19F39EC-38B3-4009-819B-20B0F7D082D7}"/>
    <hyperlink ref="C100" r:id="rId43" xr:uid="{DE4F8406-F5A1-4D11-95FF-72C3C1A9C012}"/>
    <hyperlink ref="C127" r:id="rId44" xr:uid="{EBD73EB3-8E73-4B44-AD50-DA1AEC431723}"/>
    <hyperlink ref="C172" r:id="rId45" xr:uid="{A66A0013-8539-42FE-A097-00263E7AAB56}"/>
    <hyperlink ref="C20" r:id="rId46" xr:uid="{7EF0E16A-FE69-4FBA-8B97-9309329015FE}"/>
  </hyperlinks>
  <pageMargins left="0.7" right="0.7" top="0.75" bottom="0.75" header="0.3" footer="0.3"/>
  <pageSetup paperSize="9" orientation="portrait" r:id="rId47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245ADF-6152-4B93-BAD6-EDBDBB3C30DF}">
          <x14:formula1>
            <xm:f>DataValidation!$C$2:$C$3</xm:f>
          </x14:formula1>
          <xm:sqref>D2:E101 D106:E177 D210:E1048576</xm:sqref>
        </x14:dataValidation>
        <x14:dataValidation type="list" allowBlank="1" showInputMessage="1" showErrorMessage="1" xr:uid="{BB05D87E-0FFA-4570-8CDC-F47AD9614ADF}">
          <x14:formula1>
            <xm:f>DataValidation!$A$2:$A$11</xm:f>
          </x14:formula1>
          <xm:sqref>N2:N1048576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49E5-CFF4-4D11-96EC-902BC562B812}">
  <sheetPr>
    <tabColor theme="1" tint="0.34998626667073579"/>
  </sheetPr>
  <dimension ref="A1:H22"/>
  <sheetViews>
    <sheetView zoomScaleNormal="100" workbookViewId="0">
      <selection activeCell="E33" sqref="E33"/>
    </sheetView>
  </sheetViews>
  <sheetFormatPr defaultColWidth="9.140625" defaultRowHeight="15" x14ac:dyDescent="0.25"/>
  <cols>
    <col min="1" max="1" width="28.140625" bestFit="1" customWidth="1"/>
    <col min="2" max="2" width="7.42578125" style="5" bestFit="1" customWidth="1"/>
    <col min="3" max="3" width="12" bestFit="1" customWidth="1"/>
    <col min="4" max="4" width="39.42578125" bestFit="1" customWidth="1"/>
    <col min="5" max="5" width="9.42578125" style="5" bestFit="1" customWidth="1"/>
    <col min="6" max="6" width="9.42578125" bestFit="1" customWidth="1"/>
    <col min="7" max="7" width="9.5703125" style="29" bestFit="1" customWidth="1"/>
    <col min="8" max="8" width="11" style="29" bestFit="1" customWidth="1"/>
  </cols>
  <sheetData>
    <row r="1" spans="1:8" x14ac:dyDescent="0.25">
      <c r="A1" s="65" t="s">
        <v>403</v>
      </c>
      <c r="B1" s="67" t="s">
        <v>183</v>
      </c>
      <c r="C1" s="65" t="s">
        <v>404</v>
      </c>
      <c r="D1" s="65" t="s">
        <v>411</v>
      </c>
      <c r="E1" s="62" t="s">
        <v>410</v>
      </c>
      <c r="F1" s="64"/>
      <c r="G1" s="64"/>
      <c r="H1" s="64"/>
    </row>
    <row r="2" spans="1:8" s="8" customFormat="1" ht="15.75" thickBot="1" x14ac:dyDescent="0.3">
      <c r="A2" s="66"/>
      <c r="B2" s="68"/>
      <c r="C2" s="66"/>
      <c r="D2" s="66"/>
      <c r="E2" s="6" t="s">
        <v>418</v>
      </c>
      <c r="F2" s="2" t="s">
        <v>419</v>
      </c>
      <c r="G2" s="49" t="s">
        <v>420</v>
      </c>
      <c r="H2" s="49" t="s">
        <v>421</v>
      </c>
    </row>
    <row r="3" spans="1:8" x14ac:dyDescent="0.25">
      <c r="A3" t="s">
        <v>185</v>
      </c>
      <c r="B3" s="7">
        <f>1/7500</f>
        <v>1.3333333333333334E-4</v>
      </c>
      <c r="C3" s="50">
        <v>50000</v>
      </c>
      <c r="D3" t="s">
        <v>406</v>
      </c>
      <c r="E3" s="51">
        <v>50000</v>
      </c>
      <c r="F3" s="50">
        <v>10000</v>
      </c>
      <c r="G3" s="29">
        <f>($C3-E3)*$B3</f>
        <v>0</v>
      </c>
      <c r="H3" s="29">
        <f>($C3-F3)*$B3</f>
        <v>5.3333333333333339</v>
      </c>
    </row>
    <row r="4" spans="1:8" x14ac:dyDescent="0.25">
      <c r="A4" t="s">
        <v>192</v>
      </c>
      <c r="B4" s="7">
        <f>1/25</f>
        <v>0.04</v>
      </c>
      <c r="C4" s="33">
        <v>100</v>
      </c>
      <c r="D4" t="s">
        <v>406</v>
      </c>
      <c r="E4" s="5">
        <v>80</v>
      </c>
      <c r="F4">
        <v>15</v>
      </c>
      <c r="G4" s="29">
        <f t="shared" ref="G4:G5" si="0">($C4-E4)*$B4</f>
        <v>0.8</v>
      </c>
      <c r="H4" s="29">
        <f t="shared" ref="H4:H5" si="1">($C4-F4)*$B4</f>
        <v>3.4</v>
      </c>
    </row>
    <row r="5" spans="1:8" x14ac:dyDescent="0.25">
      <c r="A5" t="s">
        <v>193</v>
      </c>
      <c r="B5" s="7">
        <v>20</v>
      </c>
      <c r="C5" s="34">
        <v>0.1</v>
      </c>
      <c r="D5" t="s">
        <v>406</v>
      </c>
      <c r="E5" s="5">
        <v>0.1</v>
      </c>
      <c r="F5">
        <v>0.02</v>
      </c>
      <c r="G5" s="29">
        <f t="shared" si="0"/>
        <v>0</v>
      </c>
      <c r="H5" s="29">
        <f t="shared" si="1"/>
        <v>1.6</v>
      </c>
    </row>
    <row r="6" spans="1:8" x14ac:dyDescent="0.25">
      <c r="A6" t="s">
        <v>194</v>
      </c>
      <c r="B6" s="7">
        <f>1/5</f>
        <v>0.2</v>
      </c>
      <c r="C6" s="35"/>
      <c r="D6" t="s">
        <v>405</v>
      </c>
      <c r="E6" s="5">
        <v>5</v>
      </c>
      <c r="F6">
        <v>20</v>
      </c>
      <c r="G6" s="29">
        <f>E6*$B6</f>
        <v>1</v>
      </c>
      <c r="H6" s="29">
        <f>F6*$B6</f>
        <v>4</v>
      </c>
    </row>
    <row r="7" spans="1:8" x14ac:dyDescent="0.25">
      <c r="A7" t="s">
        <v>197</v>
      </c>
      <c r="B7" s="7">
        <v>0.5</v>
      </c>
      <c r="C7" s="35"/>
      <c r="D7" t="s">
        <v>405</v>
      </c>
      <c r="E7" s="5">
        <v>4</v>
      </c>
      <c r="F7">
        <v>7</v>
      </c>
      <c r="G7" s="29">
        <f t="shared" ref="G7:G20" si="2">E7*$B7</f>
        <v>2</v>
      </c>
      <c r="H7" s="29">
        <f t="shared" ref="H7:H20" si="3">F7*$B7</f>
        <v>3.5</v>
      </c>
    </row>
    <row r="8" spans="1:8" x14ac:dyDescent="0.25">
      <c r="A8" s="10" t="s">
        <v>241</v>
      </c>
      <c r="B8" s="11">
        <f>1/300</f>
        <v>3.3333333333333335E-3</v>
      </c>
      <c r="C8" s="35"/>
      <c r="D8" s="10" t="s">
        <v>405</v>
      </c>
      <c r="E8" s="5">
        <v>400</v>
      </c>
      <c r="F8">
        <v>1400</v>
      </c>
      <c r="G8" s="29">
        <f t="shared" si="2"/>
        <v>1.3333333333333335</v>
      </c>
      <c r="H8" s="29">
        <f t="shared" si="3"/>
        <v>4.666666666666667</v>
      </c>
    </row>
    <row r="9" spans="1:8" x14ac:dyDescent="0.25">
      <c r="A9" s="10" t="s">
        <v>208</v>
      </c>
      <c r="B9" s="11">
        <v>1</v>
      </c>
      <c r="C9" s="35"/>
      <c r="D9" s="10" t="s">
        <v>405</v>
      </c>
      <c r="E9" s="5">
        <v>1</v>
      </c>
      <c r="F9">
        <v>2</v>
      </c>
      <c r="G9" s="29">
        <f t="shared" si="2"/>
        <v>1</v>
      </c>
      <c r="H9" s="29">
        <f t="shared" si="3"/>
        <v>2</v>
      </c>
    </row>
    <row r="10" spans="1:8" x14ac:dyDescent="0.25">
      <c r="A10" t="s">
        <v>224</v>
      </c>
      <c r="B10" s="7">
        <v>1</v>
      </c>
      <c r="C10" s="35"/>
      <c r="D10" t="s">
        <v>409</v>
      </c>
      <c r="E10" s="5">
        <v>1</v>
      </c>
      <c r="F10">
        <v>3</v>
      </c>
      <c r="G10" s="29">
        <f t="shared" si="2"/>
        <v>1</v>
      </c>
      <c r="H10" s="29">
        <f t="shared" si="3"/>
        <v>3</v>
      </c>
    </row>
    <row r="11" spans="1:8" x14ac:dyDescent="0.25">
      <c r="A11" t="s">
        <v>229</v>
      </c>
      <c r="B11" s="7">
        <v>1</v>
      </c>
      <c r="C11" s="35"/>
      <c r="D11" t="s">
        <v>407</v>
      </c>
      <c r="E11" s="5">
        <v>0</v>
      </c>
      <c r="F11">
        <v>1</v>
      </c>
      <c r="G11" s="29">
        <f t="shared" si="2"/>
        <v>0</v>
      </c>
      <c r="H11" s="29">
        <f t="shared" si="3"/>
        <v>1</v>
      </c>
    </row>
    <row r="12" spans="1:8" x14ac:dyDescent="0.25">
      <c r="A12" t="s">
        <v>231</v>
      </c>
      <c r="B12" s="7">
        <v>1</v>
      </c>
      <c r="C12" s="35"/>
      <c r="D12" t="s">
        <v>408</v>
      </c>
      <c r="E12" s="5">
        <v>0</v>
      </c>
      <c r="F12">
        <v>1</v>
      </c>
      <c r="G12" s="29">
        <f t="shared" si="2"/>
        <v>0</v>
      </c>
      <c r="H12" s="29">
        <f t="shared" si="3"/>
        <v>1</v>
      </c>
    </row>
    <row r="13" spans="1:8" x14ac:dyDescent="0.25">
      <c r="A13" t="s">
        <v>11</v>
      </c>
      <c r="B13" s="7">
        <v>1</v>
      </c>
      <c r="C13" s="35"/>
      <c r="D13" t="s">
        <v>408</v>
      </c>
      <c r="E13" s="5">
        <v>0</v>
      </c>
      <c r="F13">
        <v>1</v>
      </c>
      <c r="G13" s="29">
        <f t="shared" si="2"/>
        <v>0</v>
      </c>
      <c r="H13" s="29">
        <f t="shared" si="3"/>
        <v>1</v>
      </c>
    </row>
    <row r="14" spans="1:8" x14ac:dyDescent="0.25">
      <c r="A14" t="s">
        <v>232</v>
      </c>
      <c r="B14" s="7">
        <v>1</v>
      </c>
      <c r="C14" s="35"/>
      <c r="D14" t="s">
        <v>408</v>
      </c>
      <c r="E14" s="5">
        <v>0</v>
      </c>
      <c r="F14">
        <v>1</v>
      </c>
      <c r="G14" s="29">
        <f t="shared" si="2"/>
        <v>0</v>
      </c>
      <c r="H14" s="29">
        <f t="shared" si="3"/>
        <v>1</v>
      </c>
    </row>
    <row r="15" spans="1:8" x14ac:dyDescent="0.25">
      <c r="A15" t="s">
        <v>233</v>
      </c>
      <c r="B15" s="7">
        <v>1</v>
      </c>
      <c r="C15" s="35"/>
      <c r="D15" t="s">
        <v>408</v>
      </c>
      <c r="E15" s="5">
        <v>0</v>
      </c>
      <c r="F15">
        <v>1</v>
      </c>
      <c r="G15" s="29">
        <f t="shared" si="2"/>
        <v>0</v>
      </c>
      <c r="H15" s="29">
        <f t="shared" si="3"/>
        <v>1</v>
      </c>
    </row>
    <row r="16" spans="1:8" x14ac:dyDescent="0.25">
      <c r="A16" t="s">
        <v>234</v>
      </c>
      <c r="B16" s="7">
        <v>1</v>
      </c>
      <c r="C16" s="35"/>
      <c r="D16" t="s">
        <v>408</v>
      </c>
      <c r="E16" s="5">
        <v>0</v>
      </c>
      <c r="F16">
        <v>1</v>
      </c>
      <c r="G16" s="29">
        <f t="shared" si="2"/>
        <v>0</v>
      </c>
      <c r="H16" s="29">
        <f t="shared" si="3"/>
        <v>1</v>
      </c>
    </row>
    <row r="17" spans="1:8" x14ac:dyDescent="0.25">
      <c r="A17" s="10" t="s">
        <v>235</v>
      </c>
      <c r="B17" s="11">
        <v>0.5</v>
      </c>
      <c r="C17" s="35"/>
      <c r="D17" s="10" t="s">
        <v>408</v>
      </c>
      <c r="E17" s="5">
        <v>0</v>
      </c>
      <c r="F17">
        <v>1</v>
      </c>
      <c r="G17" s="29">
        <f t="shared" si="2"/>
        <v>0</v>
      </c>
      <c r="H17" s="29">
        <f t="shared" si="3"/>
        <v>0.5</v>
      </c>
    </row>
    <row r="18" spans="1:8" x14ac:dyDescent="0.25">
      <c r="A18" s="10" t="s">
        <v>425</v>
      </c>
      <c r="B18" s="11">
        <v>0.5</v>
      </c>
      <c r="C18" s="35"/>
      <c r="D18" s="10" t="s">
        <v>408</v>
      </c>
      <c r="E18" s="5">
        <v>0</v>
      </c>
      <c r="F18">
        <v>1</v>
      </c>
      <c r="G18" s="29">
        <f t="shared" si="2"/>
        <v>0</v>
      </c>
      <c r="H18" s="29">
        <f t="shared" si="3"/>
        <v>0.5</v>
      </c>
    </row>
    <row r="19" spans="1:8" x14ac:dyDescent="0.25">
      <c r="A19" s="10" t="s">
        <v>237</v>
      </c>
      <c r="B19" s="11">
        <v>2</v>
      </c>
      <c r="C19" s="35"/>
      <c r="D19" s="10" t="s">
        <v>444</v>
      </c>
      <c r="E19" s="5">
        <v>0</v>
      </c>
      <c r="F19">
        <v>2</v>
      </c>
      <c r="G19" s="29">
        <f t="shared" si="2"/>
        <v>0</v>
      </c>
      <c r="H19" s="29">
        <f t="shared" si="3"/>
        <v>4</v>
      </c>
    </row>
    <row r="20" spans="1:8" s="8" customFormat="1" ht="15.75" thickBot="1" x14ac:dyDescent="0.3">
      <c r="A20" s="12" t="s">
        <v>178</v>
      </c>
      <c r="B20" s="13">
        <v>2</v>
      </c>
      <c r="C20" s="36"/>
      <c r="D20" s="59" t="s">
        <v>444</v>
      </c>
      <c r="E20" s="9">
        <v>0</v>
      </c>
      <c r="F20" s="8">
        <v>2</v>
      </c>
      <c r="G20" s="49">
        <f t="shared" si="2"/>
        <v>0</v>
      </c>
      <c r="H20" s="49">
        <f t="shared" si="3"/>
        <v>4</v>
      </c>
    </row>
    <row r="21" spans="1:8" x14ac:dyDescent="0.25">
      <c r="D21" t="s">
        <v>437</v>
      </c>
      <c r="F21" s="37" t="s">
        <v>380</v>
      </c>
      <c r="G21" s="29">
        <f>SUM(G3:G20)</f>
        <v>7.1333333333333329</v>
      </c>
      <c r="H21" s="29">
        <f>SUM(H3:H20)</f>
        <v>42.5</v>
      </c>
    </row>
    <row r="22" spans="1:8" x14ac:dyDescent="0.25">
      <c r="D22" t="s">
        <v>438</v>
      </c>
    </row>
  </sheetData>
  <mergeCells count="5">
    <mergeCell ref="E1:H1"/>
    <mergeCell ref="A1:A2"/>
    <mergeCell ref="B1:B2"/>
    <mergeCell ref="C1:C2"/>
    <mergeCell ref="D1:D2"/>
  </mergeCells>
  <conditionalFormatting sqref="A1:D1 A3:D20 D22">
    <cfRule type="expression" dxfId="4" priority="1">
      <formula>$D1="NA"</formula>
    </cfRule>
  </conditionalFormatting>
  <conditionalFormatting sqref="D21">
    <cfRule type="expression" dxfId="3" priority="34">
      <formula>#REF!="NA"</formula>
    </cfRule>
  </conditionalFormatting>
  <conditionalFormatting sqref="E2:F2">
    <cfRule type="expression" dxfId="2" priority="33">
      <formula>$D1="NA"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9794-BB02-4D3B-BC9C-E55CF600993A}">
  <sheetPr>
    <tabColor theme="1" tint="0.34998626667073579"/>
  </sheetPr>
  <dimension ref="A1:D46"/>
  <sheetViews>
    <sheetView topLeftCell="B1" zoomScaleNormal="100" workbookViewId="0">
      <selection activeCell="B24" sqref="B24"/>
    </sheetView>
  </sheetViews>
  <sheetFormatPr defaultColWidth="9.140625" defaultRowHeight="15" x14ac:dyDescent="0.25"/>
  <cols>
    <col min="1" max="1" width="41" customWidth="1"/>
    <col min="2" max="2" width="31.28515625" customWidth="1"/>
    <col min="3" max="3" width="9.140625" style="7"/>
    <col min="4" max="4" width="67" customWidth="1"/>
    <col min="5" max="5" width="15.7109375" bestFit="1" customWidth="1"/>
    <col min="6" max="6" width="11.140625" customWidth="1"/>
  </cols>
  <sheetData>
    <row r="1" spans="1:4" s="4" customFormat="1" ht="15.75" thickBot="1" x14ac:dyDescent="0.3">
      <c r="A1" s="2" t="s">
        <v>181</v>
      </c>
      <c r="B1" s="2" t="s">
        <v>182</v>
      </c>
      <c r="C1" s="6" t="s">
        <v>382</v>
      </c>
      <c r="D1" s="2" t="s">
        <v>446</v>
      </c>
    </row>
    <row r="2" spans="1:4" x14ac:dyDescent="0.25">
      <c r="A2" t="s">
        <v>184</v>
      </c>
      <c r="B2" t="s">
        <v>185</v>
      </c>
      <c r="C2" s="7" t="s">
        <v>257</v>
      </c>
    </row>
    <row r="3" spans="1:4" x14ac:dyDescent="0.25">
      <c r="A3" t="s">
        <v>184</v>
      </c>
      <c r="B3" t="s">
        <v>186</v>
      </c>
      <c r="C3" s="7" t="s">
        <v>239</v>
      </c>
      <c r="D3" t="s">
        <v>443</v>
      </c>
    </row>
    <row r="4" spans="1:4" x14ac:dyDescent="0.25">
      <c r="A4" t="s">
        <v>184</v>
      </c>
      <c r="B4" t="s">
        <v>187</v>
      </c>
      <c r="C4" s="7" t="s">
        <v>239</v>
      </c>
      <c r="D4" t="s">
        <v>441</v>
      </c>
    </row>
    <row r="5" spans="1:4" x14ac:dyDescent="0.25">
      <c r="A5" t="s">
        <v>184</v>
      </c>
      <c r="B5" t="s">
        <v>188</v>
      </c>
      <c r="C5" s="7" t="s">
        <v>239</v>
      </c>
      <c r="D5" t="s">
        <v>242</v>
      </c>
    </row>
    <row r="6" spans="1:4" x14ac:dyDescent="0.25">
      <c r="A6" t="s">
        <v>184</v>
      </c>
      <c r="B6" t="s">
        <v>455</v>
      </c>
      <c r="C6" s="7" t="s">
        <v>239</v>
      </c>
      <c r="D6" t="s">
        <v>242</v>
      </c>
    </row>
    <row r="7" spans="1:4" x14ac:dyDescent="0.25">
      <c r="A7" t="s">
        <v>184</v>
      </c>
      <c r="B7" t="s">
        <v>189</v>
      </c>
      <c r="C7" s="7" t="s">
        <v>239</v>
      </c>
      <c r="D7" t="s">
        <v>242</v>
      </c>
    </row>
    <row r="8" spans="1:4" x14ac:dyDescent="0.25">
      <c r="A8" t="s">
        <v>190</v>
      </c>
      <c r="B8" t="s">
        <v>192</v>
      </c>
      <c r="C8" s="7" t="s">
        <v>257</v>
      </c>
    </row>
    <row r="9" spans="1:4" x14ac:dyDescent="0.25">
      <c r="A9" t="s">
        <v>190</v>
      </c>
      <c r="B9" t="s">
        <v>193</v>
      </c>
      <c r="C9" s="7" t="s">
        <v>257</v>
      </c>
    </row>
    <row r="10" spans="1:4" x14ac:dyDescent="0.25">
      <c r="A10" t="s">
        <v>190</v>
      </c>
      <c r="B10" t="s">
        <v>194</v>
      </c>
      <c r="C10" s="7" t="s">
        <v>257</v>
      </c>
    </row>
    <row r="11" spans="1:4" x14ac:dyDescent="0.25">
      <c r="A11" t="s">
        <v>190</v>
      </c>
      <c r="B11" t="s">
        <v>195</v>
      </c>
      <c r="C11" s="7" t="s">
        <v>239</v>
      </c>
      <c r="D11" t="s">
        <v>242</v>
      </c>
    </row>
    <row r="12" spans="1:4" x14ac:dyDescent="0.25">
      <c r="A12" t="s">
        <v>190</v>
      </c>
      <c r="B12" t="s">
        <v>196</v>
      </c>
      <c r="C12" s="7" t="s">
        <v>239</v>
      </c>
      <c r="D12" t="s">
        <v>242</v>
      </c>
    </row>
    <row r="13" spans="1:4" x14ac:dyDescent="0.25">
      <c r="A13" t="s">
        <v>190</v>
      </c>
      <c r="B13" t="s">
        <v>197</v>
      </c>
      <c r="C13" s="7" t="s">
        <v>257</v>
      </c>
    </row>
    <row r="14" spans="1:4" x14ac:dyDescent="0.25">
      <c r="A14" t="s">
        <v>190</v>
      </c>
      <c r="B14" t="s">
        <v>198</v>
      </c>
      <c r="C14" s="7" t="s">
        <v>239</v>
      </c>
      <c r="D14" t="s">
        <v>242</v>
      </c>
    </row>
    <row r="15" spans="1:4" x14ac:dyDescent="0.25">
      <c r="A15" t="s">
        <v>191</v>
      </c>
      <c r="B15" t="s">
        <v>199</v>
      </c>
      <c r="C15" s="7" t="s">
        <v>424</v>
      </c>
      <c r="D15" t="s">
        <v>442</v>
      </c>
    </row>
    <row r="16" spans="1:4" x14ac:dyDescent="0.25">
      <c r="A16" t="s">
        <v>191</v>
      </c>
      <c r="B16" t="s">
        <v>200</v>
      </c>
      <c r="C16" s="7" t="s">
        <v>424</v>
      </c>
      <c r="D16" t="s">
        <v>442</v>
      </c>
    </row>
    <row r="17" spans="1:4" x14ac:dyDescent="0.25">
      <c r="A17" t="s">
        <v>191</v>
      </c>
      <c r="B17" t="s">
        <v>201</v>
      </c>
      <c r="C17" s="7" t="s">
        <v>239</v>
      </c>
      <c r="D17" t="s">
        <v>242</v>
      </c>
    </row>
    <row r="18" spans="1:4" x14ac:dyDescent="0.25">
      <c r="A18" t="s">
        <v>191</v>
      </c>
      <c r="B18" t="s">
        <v>202</v>
      </c>
      <c r="C18" s="7" t="s">
        <v>239</v>
      </c>
      <c r="D18" t="s">
        <v>242</v>
      </c>
    </row>
    <row r="19" spans="1:4" x14ac:dyDescent="0.25">
      <c r="A19" t="s">
        <v>191</v>
      </c>
      <c r="B19" t="s">
        <v>203</v>
      </c>
      <c r="C19" s="7" t="s">
        <v>239</v>
      </c>
      <c r="D19" t="s">
        <v>242</v>
      </c>
    </row>
    <row r="20" spans="1:4" x14ac:dyDescent="0.25">
      <c r="A20" t="s">
        <v>191</v>
      </c>
      <c r="B20" t="s">
        <v>204</v>
      </c>
      <c r="C20" s="7" t="s">
        <v>239</v>
      </c>
      <c r="D20" t="s">
        <v>242</v>
      </c>
    </row>
    <row r="21" spans="1:4" x14ac:dyDescent="0.25">
      <c r="A21" t="s">
        <v>191</v>
      </c>
      <c r="B21" t="s">
        <v>205</v>
      </c>
      <c r="C21" s="7" t="s">
        <v>239</v>
      </c>
      <c r="D21" t="s">
        <v>242</v>
      </c>
    </row>
    <row r="22" spans="1:4" x14ac:dyDescent="0.25">
      <c r="A22" t="s">
        <v>191</v>
      </c>
      <c r="B22" t="s">
        <v>206</v>
      </c>
      <c r="C22" s="7" t="s">
        <v>239</v>
      </c>
      <c r="D22" t="s">
        <v>242</v>
      </c>
    </row>
    <row r="23" spans="1:4" x14ac:dyDescent="0.25">
      <c r="A23" t="s">
        <v>207</v>
      </c>
      <c r="B23" t="s">
        <v>209</v>
      </c>
      <c r="C23" s="7" t="s">
        <v>239</v>
      </c>
      <c r="D23" t="s">
        <v>242</v>
      </c>
    </row>
    <row r="24" spans="1:4" x14ac:dyDescent="0.25">
      <c r="A24" t="s">
        <v>207</v>
      </c>
      <c r="B24" t="s">
        <v>210</v>
      </c>
      <c r="C24" s="7" t="s">
        <v>239</v>
      </c>
      <c r="D24" t="s">
        <v>242</v>
      </c>
    </row>
    <row r="25" spans="1:4" x14ac:dyDescent="0.25">
      <c r="A25" t="s">
        <v>207</v>
      </c>
      <c r="B25" t="s">
        <v>211</v>
      </c>
      <c r="C25" s="7" t="s">
        <v>239</v>
      </c>
      <c r="D25" t="s">
        <v>242</v>
      </c>
    </row>
    <row r="26" spans="1:4" x14ac:dyDescent="0.25">
      <c r="A26" t="s">
        <v>207</v>
      </c>
      <c r="B26" t="s">
        <v>212</v>
      </c>
      <c r="C26" s="7" t="s">
        <v>239</v>
      </c>
      <c r="D26" t="s">
        <v>242</v>
      </c>
    </row>
    <row r="27" spans="1:4" x14ac:dyDescent="0.25">
      <c r="A27" t="s">
        <v>207</v>
      </c>
      <c r="B27" t="s">
        <v>213</v>
      </c>
      <c r="C27" s="7" t="s">
        <v>239</v>
      </c>
      <c r="D27" t="s">
        <v>242</v>
      </c>
    </row>
    <row r="28" spans="1:4" x14ac:dyDescent="0.25">
      <c r="A28" t="s">
        <v>207</v>
      </c>
      <c r="B28" t="s">
        <v>214</v>
      </c>
      <c r="C28" s="7" t="s">
        <v>239</v>
      </c>
      <c r="D28" t="s">
        <v>242</v>
      </c>
    </row>
    <row r="29" spans="1:4" x14ac:dyDescent="0.25">
      <c r="A29" t="s">
        <v>207</v>
      </c>
      <c r="B29" t="s">
        <v>215</v>
      </c>
      <c r="C29" s="7" t="s">
        <v>239</v>
      </c>
      <c r="D29" t="s">
        <v>242</v>
      </c>
    </row>
    <row r="30" spans="1:4" x14ac:dyDescent="0.25">
      <c r="A30" t="s">
        <v>216</v>
      </c>
      <c r="B30" t="s">
        <v>217</v>
      </c>
      <c r="C30" s="7" t="s">
        <v>239</v>
      </c>
      <c r="D30" t="s">
        <v>242</v>
      </c>
    </row>
    <row r="31" spans="1:4" x14ac:dyDescent="0.25">
      <c r="A31" t="s">
        <v>216</v>
      </c>
      <c r="B31" t="s">
        <v>218</v>
      </c>
      <c r="C31" s="7" t="s">
        <v>239</v>
      </c>
      <c r="D31" t="s">
        <v>242</v>
      </c>
    </row>
    <row r="32" spans="1:4" x14ac:dyDescent="0.25">
      <c r="A32" t="s">
        <v>216</v>
      </c>
      <c r="B32" t="s">
        <v>219</v>
      </c>
      <c r="C32" s="7" t="s">
        <v>239</v>
      </c>
      <c r="D32" t="s">
        <v>242</v>
      </c>
    </row>
    <row r="33" spans="1:4" x14ac:dyDescent="0.25">
      <c r="A33" t="s">
        <v>216</v>
      </c>
      <c r="B33" t="s">
        <v>220</v>
      </c>
      <c r="C33" s="7" t="s">
        <v>239</v>
      </c>
      <c r="D33" t="s">
        <v>242</v>
      </c>
    </row>
    <row r="34" spans="1:4" x14ac:dyDescent="0.25">
      <c r="A34" t="s">
        <v>216</v>
      </c>
      <c r="B34" t="s">
        <v>221</v>
      </c>
      <c r="C34" s="7" t="s">
        <v>239</v>
      </c>
      <c r="D34" t="s">
        <v>242</v>
      </c>
    </row>
    <row r="35" spans="1:4" x14ac:dyDescent="0.25">
      <c r="A35" t="s">
        <v>216</v>
      </c>
      <c r="B35" t="s">
        <v>222</v>
      </c>
      <c r="C35" s="7" t="s">
        <v>239</v>
      </c>
      <c r="D35" t="s">
        <v>445</v>
      </c>
    </row>
    <row r="36" spans="1:4" x14ac:dyDescent="0.25">
      <c r="A36" t="s">
        <v>223</v>
      </c>
      <c r="B36" t="s">
        <v>224</v>
      </c>
      <c r="C36" s="7" t="s">
        <v>257</v>
      </c>
    </row>
    <row r="37" spans="1:4" x14ac:dyDescent="0.25">
      <c r="A37" t="s">
        <v>223</v>
      </c>
      <c r="B37" t="s">
        <v>225</v>
      </c>
      <c r="C37" s="7" t="s">
        <v>239</v>
      </c>
      <c r="D37" t="s">
        <v>242</v>
      </c>
    </row>
    <row r="38" spans="1:4" x14ac:dyDescent="0.25">
      <c r="A38" t="s">
        <v>223</v>
      </c>
      <c r="B38" t="s">
        <v>226</v>
      </c>
      <c r="C38" s="7" t="s">
        <v>239</v>
      </c>
      <c r="D38" t="s">
        <v>242</v>
      </c>
    </row>
    <row r="39" spans="1:4" x14ac:dyDescent="0.25">
      <c r="A39" t="s">
        <v>223</v>
      </c>
      <c r="B39" t="s">
        <v>227</v>
      </c>
      <c r="C39" s="7" t="s">
        <v>239</v>
      </c>
      <c r="D39" t="s">
        <v>242</v>
      </c>
    </row>
    <row r="40" spans="1:4" x14ac:dyDescent="0.25">
      <c r="A40" t="s">
        <v>223</v>
      </c>
      <c r="B40" t="s">
        <v>228</v>
      </c>
      <c r="C40" s="7" t="s">
        <v>239</v>
      </c>
      <c r="D40" t="s">
        <v>242</v>
      </c>
    </row>
    <row r="41" spans="1:4" x14ac:dyDescent="0.25">
      <c r="A41" t="s">
        <v>223</v>
      </c>
      <c r="B41" t="s">
        <v>229</v>
      </c>
      <c r="C41" s="7" t="s">
        <v>257</v>
      </c>
    </row>
    <row r="42" spans="1:4" x14ac:dyDescent="0.25">
      <c r="A42" t="s">
        <v>230</v>
      </c>
      <c r="B42" t="s">
        <v>231</v>
      </c>
      <c r="C42" s="7" t="s">
        <v>257</v>
      </c>
    </row>
    <row r="43" spans="1:4" x14ac:dyDescent="0.25">
      <c r="A43" t="s">
        <v>230</v>
      </c>
      <c r="B43" t="s">
        <v>11</v>
      </c>
      <c r="C43" s="7" t="s">
        <v>257</v>
      </c>
    </row>
    <row r="44" spans="1:4" x14ac:dyDescent="0.25">
      <c r="A44" t="s">
        <v>230</v>
      </c>
      <c r="B44" t="s">
        <v>232</v>
      </c>
      <c r="C44" s="7" t="s">
        <v>257</v>
      </c>
    </row>
    <row r="45" spans="1:4" x14ac:dyDescent="0.25">
      <c r="A45" t="s">
        <v>230</v>
      </c>
      <c r="B45" t="s">
        <v>233</v>
      </c>
      <c r="C45" s="7" t="s">
        <v>257</v>
      </c>
    </row>
    <row r="46" spans="1:4" x14ac:dyDescent="0.25">
      <c r="A46" t="s">
        <v>230</v>
      </c>
      <c r="B46" t="s">
        <v>234</v>
      </c>
      <c r="C46" s="7" t="s">
        <v>257</v>
      </c>
    </row>
  </sheetData>
  <phoneticPr fontId="3" type="noConversion"/>
  <conditionalFormatting sqref="A1:D92">
    <cfRule type="expression" dxfId="1" priority="1">
      <formula>$C1="Y"</formula>
    </cfRule>
    <cfRule type="expression" dxfId="0" priority="3">
      <formula>$C1="Merge"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25A4-6C35-4F1A-8BCE-36BA2AFD81EC}">
  <sheetPr>
    <tabColor theme="1"/>
  </sheetPr>
  <dimension ref="A1:C6"/>
  <sheetViews>
    <sheetView workbookViewId="0">
      <selection activeCell="D13" sqref="D13"/>
    </sheetView>
  </sheetViews>
  <sheetFormatPr defaultColWidth="9.140625" defaultRowHeight="15" x14ac:dyDescent="0.25"/>
  <cols>
    <col min="1" max="1" width="25.28515625" customWidth="1"/>
    <col min="2" max="2" width="9.85546875" bestFit="1" customWidth="1"/>
    <col min="3" max="3" width="9.140625" style="5"/>
  </cols>
  <sheetData>
    <row r="1" spans="1:3" s="14" customFormat="1" x14ac:dyDescent="0.25">
      <c r="A1" s="14" t="s">
        <v>307</v>
      </c>
      <c r="B1" s="14" t="s">
        <v>306</v>
      </c>
      <c r="C1" s="15" t="s">
        <v>321</v>
      </c>
    </row>
    <row r="2" spans="1:3" x14ac:dyDescent="0.25">
      <c r="A2" t="s">
        <v>258</v>
      </c>
      <c r="B2">
        <v>2</v>
      </c>
      <c r="C2" s="5" t="s">
        <v>239</v>
      </c>
    </row>
    <row r="3" spans="1:3" x14ac:dyDescent="0.25">
      <c r="A3" t="s">
        <v>304</v>
      </c>
      <c r="B3">
        <v>3</v>
      </c>
      <c r="C3" s="5" t="s">
        <v>257</v>
      </c>
    </row>
    <row r="4" spans="1:3" x14ac:dyDescent="0.25">
      <c r="A4" t="s">
        <v>305</v>
      </c>
      <c r="B4">
        <v>3</v>
      </c>
    </row>
    <row r="5" spans="1:3" x14ac:dyDescent="0.25">
      <c r="A5" t="s">
        <v>294</v>
      </c>
      <c r="B5">
        <v>1</v>
      </c>
    </row>
    <row r="6" spans="1:3" x14ac:dyDescent="0.25">
      <c r="A6" t="s">
        <v>303</v>
      </c>
      <c r="B6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B842E701491124DAEB509C38A4706D8" ma:contentTypeVersion="8" ma:contentTypeDescription="Ein neues Dokument erstellen." ma:contentTypeScope="" ma:versionID="8ea6507ea232818e458535266ccc515b">
  <xsd:schema xmlns:xsd="http://www.w3.org/2001/XMLSchema" xmlns:xs="http://www.w3.org/2001/XMLSchema" xmlns:p="http://schemas.microsoft.com/office/2006/metadata/properties" xmlns:ns3="cd95b36b-0ac0-46f1-b8ee-de8c0a7bcaa9" xmlns:ns4="56bf95f3-df1f-45c4-9ad4-fd67310af48c" targetNamespace="http://schemas.microsoft.com/office/2006/metadata/properties" ma:root="true" ma:fieldsID="f2ddb36e2ecb7c4740fcafc46656f2cd" ns3:_="" ns4:_="">
    <xsd:import namespace="cd95b36b-0ac0-46f1-b8ee-de8c0a7bcaa9"/>
    <xsd:import namespace="56bf95f3-df1f-45c4-9ad4-fd67310af4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95b36b-0ac0-46f1-b8ee-de8c0a7bca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f95f3-df1f-45c4-9ad4-fd67310af4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861549-30F5-4008-9CD8-3C355FD567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C75C10-AC9C-47C5-8597-8A1CAA9D627A}">
  <ds:schemaRefs>
    <ds:schemaRef ds:uri="56bf95f3-df1f-45c4-9ad4-fd67310af48c"/>
    <ds:schemaRef ds:uri="http://www.w3.org/XML/1998/namespace"/>
    <ds:schemaRef ds:uri="http://purl.org/dc/terms/"/>
    <ds:schemaRef ds:uri="cd95b36b-0ac0-46f1-b8ee-de8c0a7bcaa9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E1A18E2-3949-465F-83DC-15709FCA5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95b36b-0ac0-46f1-b8ee-de8c0a7bcaa9"/>
    <ds:schemaRef ds:uri="56bf95f3-df1f-45c4-9ad4-fd67310af4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Scores</vt:lpstr>
      <vt:lpstr>Ranking</vt:lpstr>
      <vt:lpstr>GraphsAndCharts</vt:lpstr>
      <vt:lpstr>RawCobots</vt:lpstr>
      <vt:lpstr>ScoringCriteria</vt:lpstr>
      <vt:lpstr>RawScoringCriteria</vt:lpstr>
      <vt:lpstr>DataValidation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Kruska</dc:creator>
  <cp:lastModifiedBy>Toni Kruska</cp:lastModifiedBy>
  <dcterms:created xsi:type="dcterms:W3CDTF">2015-06-05T18:19:34Z</dcterms:created>
  <dcterms:modified xsi:type="dcterms:W3CDTF">2025-04-30T13:56:04Z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0x0101000B842E701491124DAEB509C38A4706D8</vt:lpwstr>
  </property>
</Properties>
</file>